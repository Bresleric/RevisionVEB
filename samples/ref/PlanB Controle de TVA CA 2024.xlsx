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5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lanbcie-my.sharepoint.com/personal/bresleric_planbcie_onmicrosoft_com/Documents/"/>
    </mc:Choice>
  </mc:AlternateContent>
  <xr:revisionPtr revIDLastSave="157" documentId="8_{CF1DA136-9BE4-B940-B4AB-C8E2CBA8BB9B}" xr6:coauthVersionLast="47" xr6:coauthVersionMax="47" xr10:uidLastSave="{130AA005-B22A-8248-90D6-D34C8E90D7B8}"/>
  <bookViews>
    <workbookView xWindow="-120" yWindow="-120" windowWidth="20640" windowHeight="14145" firstSheet="2" activeTab="2" xr2:uid="{00000000-000D-0000-FFFF-FFFF00000000}"/>
  </bookViews>
  <sheets>
    <sheet name="Collectée" sheetId="1" r:id="rId1"/>
    <sheet name="Feuil2" sheetId="2" r:id="rId2"/>
    <sheet name="Declaration" sheetId="3" r:id="rId3"/>
    <sheet name="TVA Ded" sheetId="4" r:id="rId4"/>
  </sheets>
  <definedNames>
    <definedName name="_xlnm._FilterDatabase" localSheetId="1" hidden="1">Feuil2!$A$1:$I$143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16" i="3"/>
  <c r="B16" i="3"/>
  <c r="F3" i="1"/>
  <c r="F4" i="1"/>
  <c r="F5" i="1"/>
  <c r="F6" i="1"/>
  <c r="F7" i="1"/>
  <c r="F2" i="1"/>
  <c r="C16" i="3"/>
  <c r="C17" i="3"/>
  <c r="B15" i="3"/>
  <c r="L5" i="3"/>
  <c r="M5" i="3"/>
  <c r="L6" i="3"/>
  <c r="M6" i="3"/>
  <c r="L7" i="3"/>
  <c r="M7" i="3"/>
  <c r="L8" i="3"/>
  <c r="M8" i="3"/>
  <c r="L9" i="3"/>
  <c r="M9" i="3"/>
  <c r="L10" i="3"/>
  <c r="L4" i="3"/>
  <c r="K3" i="3"/>
  <c r="L15" i="3"/>
  <c r="K12" i="3"/>
  <c r="K9" i="3"/>
  <c r="K8" i="3"/>
  <c r="K7" i="3"/>
  <c r="K6" i="3"/>
  <c r="M4" i="3"/>
  <c r="K4" i="3"/>
  <c r="I15" i="3"/>
  <c r="I4" i="3"/>
  <c r="I5" i="3"/>
  <c r="I6" i="3"/>
  <c r="I7" i="3"/>
  <c r="I8" i="3"/>
  <c r="I9" i="3"/>
  <c r="I10" i="3"/>
  <c r="I11" i="3"/>
  <c r="I12" i="3"/>
  <c r="I13" i="3"/>
  <c r="I14" i="3"/>
  <c r="I3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4" i="3"/>
  <c r="G5" i="3"/>
  <c r="B6" i="3"/>
  <c r="G6" i="3"/>
  <c r="B7" i="3"/>
  <c r="G7" i="3"/>
  <c r="B8" i="3"/>
  <c r="G8" i="3"/>
  <c r="B9" i="3"/>
  <c r="G9" i="3"/>
  <c r="B10" i="3"/>
  <c r="G10" i="3"/>
  <c r="B11" i="3"/>
  <c r="G11" i="3"/>
  <c r="B12" i="3"/>
  <c r="G12" i="3"/>
  <c r="B13" i="3"/>
  <c r="G13" i="3"/>
  <c r="B14" i="3"/>
  <c r="G14" i="3"/>
  <c r="G3" i="3"/>
  <c r="F4" i="3"/>
  <c r="F5" i="3"/>
  <c r="F6" i="3"/>
  <c r="F7" i="3"/>
  <c r="F8" i="3"/>
  <c r="F9" i="3"/>
  <c r="F10" i="3"/>
  <c r="F11" i="3"/>
  <c r="F12" i="3"/>
  <c r="F13" i="3"/>
  <c r="F14" i="3"/>
  <c r="F3" i="3"/>
  <c r="D15" i="3"/>
  <c r="C6" i="3"/>
  <c r="C7" i="3"/>
  <c r="C8" i="3"/>
  <c r="C9" i="3"/>
  <c r="C10" i="3"/>
  <c r="C11" i="3"/>
  <c r="C12" i="3"/>
  <c r="C13" i="3"/>
  <c r="C14" i="3"/>
  <c r="C15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6" i="3"/>
  <c r="F19" i="3"/>
  <c r="G20" i="3"/>
  <c r="N14" i="3"/>
  <c r="G15" i="3"/>
  <c r="F15" i="3"/>
  <c r="J15" i="3"/>
  <c r="N15" i="3"/>
  <c r="J16" i="3"/>
  <c r="J17" i="3"/>
  <c r="I18" i="3"/>
  <c r="N13" i="3"/>
  <c r="N12" i="3"/>
  <c r="G10" i="4"/>
  <c r="N11" i="3"/>
  <c r="M3" i="3"/>
  <c r="M15" i="3"/>
  <c r="F17" i="3"/>
  <c r="G16" i="3"/>
  <c r="B17" i="3"/>
  <c r="F8" i="1"/>
  <c r="I16" i="3"/>
  <c r="G17" i="3"/>
  <c r="I17" i="3"/>
  <c r="N17" i="3"/>
</calcChain>
</file>

<file path=xl/sharedStrings.xml><?xml version="1.0" encoding="utf-8"?>
<sst xmlns="http://schemas.openxmlformats.org/spreadsheetml/2006/main" count="373" uniqueCount="97">
  <si>
    <t>Libre</t>
  </si>
  <si>
    <t>Compte</t>
  </si>
  <si>
    <t>Clé d'appel</t>
  </si>
  <si>
    <t>C</t>
  </si>
  <si>
    <t>Solde</t>
  </si>
  <si>
    <t>VENTES</t>
  </si>
  <si>
    <t>RECETTES RESTAURANT 10%</t>
  </si>
  <si>
    <t>RECETTE</t>
  </si>
  <si>
    <t>RECETTES RESTO.10% FREDDY</t>
  </si>
  <si>
    <t>PRODUIT</t>
  </si>
  <si>
    <t>RECETTES RESTAURANT 20%</t>
  </si>
  <si>
    <t>RECETTES RESTO.20% FREDDY</t>
  </si>
  <si>
    <t>VAE55</t>
  </si>
  <si>
    <t>VAE 5,5%</t>
  </si>
  <si>
    <t>TVA Calculée</t>
  </si>
  <si>
    <t>Ecart</t>
  </si>
  <si>
    <t>TVACOLL</t>
  </si>
  <si>
    <t>TVA COLLECTEE 20%</t>
  </si>
  <si>
    <t>TVA COLLECTEE 5,50%</t>
  </si>
  <si>
    <t>TVA COLLECTEE 10%</t>
  </si>
  <si>
    <t>CJ</t>
  </si>
  <si>
    <t>Folio</t>
  </si>
  <si>
    <t>Ligne</t>
  </si>
  <si>
    <t>Date</t>
  </si>
  <si>
    <t>Libellé</t>
  </si>
  <si>
    <t>Débit</t>
  </si>
  <si>
    <t>Let.</t>
  </si>
  <si>
    <t>Crédit</t>
  </si>
  <si>
    <t>Taux</t>
  </si>
  <si>
    <t>VE</t>
  </si>
  <si>
    <t>VENTES (01.2023)</t>
  </si>
  <si>
    <t>  CA FREDDY 2023=01</t>
  </si>
  <si>
    <t>  CA Bonbao 2023=01</t>
  </si>
  <si>
    <t>Clients</t>
  </si>
  <si>
    <t>Généraux</t>
  </si>
  <si>
    <t>TOTAL VENTES (01.2023)</t>
  </si>
  <si>
    <t>VENTES (02.2023)</t>
  </si>
  <si>
    <t>  CA 202302</t>
  </si>
  <si>
    <t>90CLI</t>
  </si>
  <si>
    <t>  CA 2023 02 BB</t>
  </si>
  <si>
    <t>TOTAL VENTES (02.2023)</t>
  </si>
  <si>
    <t>VENTES (03.2023)</t>
  </si>
  <si>
    <t>  CA2023 03</t>
  </si>
  <si>
    <t>  CA 202303 BB</t>
  </si>
  <si>
    <t>  CA 202303 BB AVOIR</t>
  </si>
  <si>
    <t>TOTAL VENTES (03.2023)</t>
  </si>
  <si>
    <t>VENTES (04.2023)</t>
  </si>
  <si>
    <t>  CA 2023 04</t>
  </si>
  <si>
    <t>90CLIENT</t>
  </si>
  <si>
    <t>  CA 2023 04 BB</t>
  </si>
  <si>
    <t>TOTAL VENTES (04.2023)</t>
  </si>
  <si>
    <t>VENTES (05.2023)</t>
  </si>
  <si>
    <t>  CA 2023 05</t>
  </si>
  <si>
    <t>TOTAL VENTES (05.2023)</t>
  </si>
  <si>
    <t>Total du journal VE</t>
  </si>
  <si>
    <t>Période</t>
  </si>
  <si>
    <t>Ventes, prestations de services</t>
  </si>
  <si>
    <t>Taux normal 20 %</t>
  </si>
  <si>
    <t>TVA Taux réduit 5,5%</t>
  </si>
  <si>
    <t>TVA Taux Réduit 10%</t>
  </si>
  <si>
    <t>Total TVA Brute</t>
  </si>
  <si>
    <t>Biens constituant des immobilisations</t>
  </si>
  <si>
    <t>TVA Déductible</t>
  </si>
  <si>
    <t>Report Crédit de TVA</t>
  </si>
  <si>
    <t>Crédit de TVA</t>
  </si>
  <si>
    <t>TVA Due</t>
  </si>
  <si>
    <t>A1</t>
  </si>
  <si>
    <t>08</t>
  </si>
  <si>
    <t>09</t>
  </si>
  <si>
    <t>9B</t>
  </si>
  <si>
    <t>TD</t>
  </si>
  <si>
    <t>Bases à déclarer</t>
  </si>
  <si>
    <t>Ecart à déclarer</t>
  </si>
  <si>
    <t>TVADED</t>
  </si>
  <si>
    <t>TVA DEDUCT.S/IMMO. 20 %</t>
  </si>
  <si>
    <t>TVA DEDUCT.S/ACHATS &amp; F.G</t>
  </si>
  <si>
    <t>TVADEDU</t>
  </si>
  <si>
    <t>TVA DEDUCTIBLE 20%</t>
  </si>
  <si>
    <t>TVA DEDUCTIBLE 5.5%</t>
  </si>
  <si>
    <t>TVA déductible 2,10% Débits</t>
  </si>
  <si>
    <t>TVA DEDUCTIBLE 10%</t>
  </si>
  <si>
    <t> 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</si>
  <si>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</si>
  <si>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</si>
  <si>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</si>
  <si>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</si>
  <si>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</si>
  <si>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</si>
  <si>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</si>
  <si>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</si>
  <si>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</si>
  <si>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</si>
  <si>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</si>
  <si>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</si>
  <si>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Taux Réduit</t>
  </si>
  <si>
    <t>Total Base</t>
  </si>
  <si>
    <t>TVA Taux Normal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</si>
</sst>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Helvetica"/>
      <family val="18"/>
    </font>
    <font>
      <sz val="8"/>
      <color theme="1"/>
      <name val="Helvetica"/>
      <family val="18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9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317A-D763-A841-BD99-E4FC4A424696}">
  <dimension ref="A1:H13"/>
  <sheetViews>
    <sheetView zoomScaleNormal="150" zoomScaleSheetLayoutView="100" workbookViewId="0">
      <selection activeCell="F8" sqref="F8"/>
    </sheetView>
  </sheetViews>
  <sheetFormatPr defaultColWidth="9.14453125" defaultRowHeight="15" x14ac:dyDescent="0.2"/>
  <cols>
    <col min="2" max="2" width="15.33203125" customWidth="1"/>
    <col min="3" max="3" width="9.81640625" bestFit="1" customWidth="1"/>
    <col min="4" max="4" width="32.41796875" customWidth="1"/>
    <col min="5" max="5" width="16.0078125" customWidth="1"/>
    <col min="6" max="6" width="11.97265625" bestFit="1" customWidth="1"/>
    <col min="7" max="7" width="22.734375" customWidth="1"/>
    <col min="8" max="8" width="10.35546875" bestFit="1" customWidth="1"/>
  </cols>
  <sheetData>
    <row r="1" spans="1:8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8" x14ac:dyDescent="0.2">
      <c r="A2" s="9"/>
      <c r="B2">
        <v>70100000</v>
      </c>
      <c r="C2" t="s">
        <v>5</v>
      </c>
      <c r="D2" t="s">
        <v>6</v>
      </c>
      <c r="E2" s="11">
        <v>249560.65</v>
      </c>
      <c r="F2" s="11">
        <f>-E2</f>
        <v>-249560.65</v>
      </c>
    </row>
    <row r="3" spans="1:8" x14ac:dyDescent="0.2">
      <c r="A3" s="9"/>
      <c r="B3">
        <v>70100001</v>
      </c>
      <c r="C3" t="s">
        <v>7</v>
      </c>
      <c r="D3" t="s">
        <v>8</v>
      </c>
      <c r="E3" s="11">
        <v>1229860.8899999999</v>
      </c>
      <c r="F3" s="11">
        <f t="shared" ref="F3:F7" si="0">-E3</f>
        <v>-1229860.8899999999</v>
      </c>
    </row>
    <row r="4" spans="1:8" x14ac:dyDescent="0.2">
      <c r="A4" s="9"/>
      <c r="B4">
        <v>70101000</v>
      </c>
      <c r="C4" t="s">
        <v>9</v>
      </c>
      <c r="D4" t="s">
        <v>10</v>
      </c>
      <c r="E4" s="11">
        <v>49856.22</v>
      </c>
      <c r="F4" s="11">
        <f t="shared" si="0"/>
        <v>-49856.22</v>
      </c>
    </row>
    <row r="5" spans="1:8" x14ac:dyDescent="0.2">
      <c r="A5" s="9"/>
      <c r="B5">
        <v>70110000</v>
      </c>
      <c r="C5" t="s">
        <v>7</v>
      </c>
      <c r="D5" t="s">
        <v>10</v>
      </c>
      <c r="E5" s="11">
        <v>256448.77</v>
      </c>
      <c r="F5" s="11">
        <f t="shared" si="0"/>
        <v>-256448.77</v>
      </c>
    </row>
    <row r="6" spans="1:8" x14ac:dyDescent="0.2">
      <c r="A6" s="9"/>
      <c r="B6">
        <v>70110001</v>
      </c>
      <c r="C6" t="s">
        <v>7</v>
      </c>
      <c r="D6" t="s">
        <v>11</v>
      </c>
      <c r="F6" s="11">
        <f t="shared" si="0"/>
        <v>0</v>
      </c>
    </row>
    <row r="7" spans="1:8" x14ac:dyDescent="0.2">
      <c r="A7" s="9"/>
      <c r="B7">
        <v>70140000</v>
      </c>
      <c r="C7" t="s">
        <v>12</v>
      </c>
      <c r="D7" t="s">
        <v>13</v>
      </c>
      <c r="E7" s="11">
        <v>21213.37</v>
      </c>
      <c r="F7" s="11">
        <f t="shared" si="0"/>
        <v>-21213.37</v>
      </c>
    </row>
    <row r="8" spans="1:8" x14ac:dyDescent="0.2">
      <c r="E8" s="2"/>
      <c r="F8" s="11">
        <f>SUM(F2:F7)</f>
        <v>-1806939.9</v>
      </c>
    </row>
    <row r="10" spans="1:8" x14ac:dyDescent="0.2">
      <c r="G10" t="s">
        <v>14</v>
      </c>
      <c r="H10" t="s">
        <v>15</v>
      </c>
    </row>
    <row r="11" spans="1:8" x14ac:dyDescent="0.2">
      <c r="A11" t="s">
        <v>81</v>
      </c>
      <c r="B11">
        <v>44571100</v>
      </c>
      <c r="C11" t="s">
        <v>16</v>
      </c>
      <c r="D11" t="s">
        <v>17</v>
      </c>
      <c r="E11" s="11">
        <v>44585.46</v>
      </c>
      <c r="F11" s="11">
        <v>-51441.21</v>
      </c>
    </row>
    <row r="12" spans="1:8" x14ac:dyDescent="0.2">
      <c r="A12" t="s">
        <v>81</v>
      </c>
      <c r="B12">
        <v>44571110</v>
      </c>
      <c r="D12" t="s">
        <v>18</v>
      </c>
      <c r="E12" s="11">
        <v>1029.3499999999999</v>
      </c>
      <c r="F12" s="11">
        <v>-1045.22</v>
      </c>
    </row>
    <row r="13" spans="1:8" x14ac:dyDescent="0.2">
      <c r="A13" t="s">
        <v>81</v>
      </c>
      <c r="B13">
        <v>44571160</v>
      </c>
      <c r="C13" t="s">
        <v>16</v>
      </c>
      <c r="D13" t="s">
        <v>19</v>
      </c>
      <c r="E13" s="11">
        <v>109056.68</v>
      </c>
      <c r="F13" s="11">
        <v>-126471.89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74A28-7040-5E4A-8B5D-FC769ACB756B}">
  <dimension ref="A1:J143"/>
  <sheetViews>
    <sheetView topLeftCell="A35" zoomScaleNormal="150" zoomScaleSheetLayoutView="100" workbookViewId="0"/>
  </sheetViews>
  <sheetFormatPr defaultColWidth="9.14453125" defaultRowHeight="15" x14ac:dyDescent="0.2"/>
  <cols>
    <col min="6" max="6" width="18.29296875" bestFit="1" customWidth="1"/>
  </cols>
  <sheetData>
    <row r="1" spans="1:10" x14ac:dyDescent="0.2">
      <c r="A1" s="3" t="s">
        <v>20</v>
      </c>
      <c r="B1" s="3" t="s">
        <v>21</v>
      </c>
      <c r="C1" s="3" t="s">
        <v>22</v>
      </c>
      <c r="D1" s="3" t="s">
        <v>23</v>
      </c>
      <c r="E1" s="3" t="s">
        <v>1</v>
      </c>
      <c r="F1" s="3" t="s">
        <v>24</v>
      </c>
      <c r="G1" s="3" t="s">
        <v>25</v>
      </c>
      <c r="H1" s="3" t="s">
        <v>26</v>
      </c>
      <c r="I1" s="3" t="s">
        <v>27</v>
      </c>
      <c r="J1" t="s">
        <v>28</v>
      </c>
    </row>
    <row r="2" spans="1:10" x14ac:dyDescent="0.2">
      <c r="A2" s="4" t="s">
        <v>29</v>
      </c>
      <c r="B2" s="4"/>
      <c r="C2" s="4"/>
      <c r="D2" s="4"/>
      <c r="E2" s="4"/>
      <c r="F2" s="4" t="s">
        <v>30</v>
      </c>
      <c r="G2" s="6">
        <v>0</v>
      </c>
      <c r="H2" s="6"/>
      <c r="I2" s="6">
        <v>0</v>
      </c>
    </row>
    <row r="3" spans="1:10" x14ac:dyDescent="0.2">
      <c r="A3" s="4" t="s">
        <v>29</v>
      </c>
      <c r="B3" s="4">
        <v>0</v>
      </c>
      <c r="C3" s="4">
        <v>1</v>
      </c>
      <c r="D3" s="5">
        <v>44957</v>
      </c>
      <c r="E3" s="4">
        <v>70100001</v>
      </c>
      <c r="F3" s="4" t="s">
        <v>31</v>
      </c>
      <c r="G3" s="6">
        <v>0</v>
      </c>
      <c r="H3" s="6"/>
      <c r="I3" s="6">
        <v>64482</v>
      </c>
      <c r="J3" s="7">
        <v>0.1</v>
      </c>
    </row>
    <row r="4" spans="1:10" x14ac:dyDescent="0.2">
      <c r="A4" s="4" t="s">
        <v>29</v>
      </c>
      <c r="B4" s="4">
        <v>0</v>
      </c>
      <c r="C4" s="4">
        <v>2</v>
      </c>
      <c r="D4" s="5">
        <v>44957</v>
      </c>
      <c r="E4" s="4">
        <v>44571160</v>
      </c>
      <c r="F4" s="4" t="s">
        <v>31</v>
      </c>
      <c r="G4" s="6">
        <v>0</v>
      </c>
      <c r="H4" s="6"/>
      <c r="I4" s="6">
        <v>6454</v>
      </c>
      <c r="J4" s="7">
        <v>0.1</v>
      </c>
    </row>
    <row r="5" spans="1:10" x14ac:dyDescent="0.2">
      <c r="A5" s="4" t="s">
        <v>29</v>
      </c>
      <c r="B5" s="4">
        <v>0</v>
      </c>
      <c r="C5" s="4">
        <v>3</v>
      </c>
      <c r="D5" s="5">
        <v>44957</v>
      </c>
      <c r="E5" s="4">
        <v>70110001</v>
      </c>
      <c r="F5" s="4" t="s">
        <v>31</v>
      </c>
      <c r="G5" s="6">
        <v>0</v>
      </c>
      <c r="H5" s="6"/>
      <c r="I5" s="6">
        <v>14671</v>
      </c>
      <c r="J5" s="7">
        <v>0.2</v>
      </c>
    </row>
    <row r="6" spans="1:10" x14ac:dyDescent="0.2">
      <c r="A6" s="4" t="s">
        <v>29</v>
      </c>
      <c r="B6" s="4">
        <v>0</v>
      </c>
      <c r="C6" s="4">
        <v>4</v>
      </c>
      <c r="D6" s="5">
        <v>44957</v>
      </c>
      <c r="E6" s="4">
        <v>44571100</v>
      </c>
      <c r="F6" s="4" t="s">
        <v>31</v>
      </c>
      <c r="G6" s="6">
        <v>0</v>
      </c>
      <c r="H6" s="6"/>
      <c r="I6" s="6">
        <v>2934</v>
      </c>
      <c r="J6" s="7">
        <v>0.2</v>
      </c>
    </row>
    <row r="7" spans="1:10" x14ac:dyDescent="0.2">
      <c r="A7" s="4" t="s">
        <v>29</v>
      </c>
      <c r="B7" s="4">
        <v>0</v>
      </c>
      <c r="C7" s="4">
        <v>5</v>
      </c>
      <c r="D7" s="5">
        <v>44957</v>
      </c>
      <c r="E7" s="4">
        <v>70140000</v>
      </c>
      <c r="F7" s="4" t="s">
        <v>31</v>
      </c>
      <c r="G7" s="6">
        <v>0</v>
      </c>
      <c r="H7" s="6"/>
      <c r="I7" s="6">
        <v>168</v>
      </c>
    </row>
    <row r="8" spans="1:10" x14ac:dyDescent="0.2">
      <c r="A8" s="4" t="s">
        <v>29</v>
      </c>
      <c r="B8" s="4">
        <v>0</v>
      </c>
      <c r="C8" s="4">
        <v>6</v>
      </c>
      <c r="D8" s="5">
        <v>44957</v>
      </c>
      <c r="E8" s="4">
        <v>44571110</v>
      </c>
      <c r="F8" s="4" t="s">
        <v>31</v>
      </c>
      <c r="G8" s="6">
        <v>0</v>
      </c>
      <c r="H8" s="6"/>
      <c r="I8" s="6">
        <v>9</v>
      </c>
    </row>
    <row r="9" spans="1:10" x14ac:dyDescent="0.2">
      <c r="A9" s="4" t="s">
        <v>29</v>
      </c>
      <c r="B9" s="4">
        <v>0</v>
      </c>
      <c r="C9" s="4">
        <v>7</v>
      </c>
      <c r="D9" s="5">
        <v>44957</v>
      </c>
      <c r="E9" s="4">
        <v>79140000</v>
      </c>
      <c r="F9" s="4" t="s">
        <v>31</v>
      </c>
      <c r="G9" s="6">
        <v>0</v>
      </c>
      <c r="H9" s="6"/>
      <c r="I9" s="6">
        <v>281</v>
      </c>
    </row>
    <row r="10" spans="1:10" x14ac:dyDescent="0.2">
      <c r="A10" s="4" t="s">
        <v>29</v>
      </c>
      <c r="B10" s="4">
        <v>0</v>
      </c>
      <c r="C10" s="4">
        <v>8</v>
      </c>
      <c r="D10" s="5">
        <v>44957</v>
      </c>
      <c r="E10" s="4">
        <v>90000000</v>
      </c>
      <c r="F10" s="4" t="s">
        <v>31</v>
      </c>
      <c r="G10" s="6">
        <v>837</v>
      </c>
      <c r="H10" s="6"/>
      <c r="I10" s="6">
        <v>0</v>
      </c>
    </row>
    <row r="11" spans="1:10" x14ac:dyDescent="0.2">
      <c r="A11" s="4" t="s">
        <v>29</v>
      </c>
      <c r="B11" s="4">
        <v>0</v>
      </c>
      <c r="C11" s="4">
        <v>9</v>
      </c>
      <c r="D11" s="5">
        <v>44957</v>
      </c>
      <c r="E11" s="4">
        <v>51150000</v>
      </c>
      <c r="F11" s="4" t="s">
        <v>31</v>
      </c>
      <c r="G11" s="6">
        <v>70573</v>
      </c>
      <c r="H11" s="6"/>
      <c r="I11" s="6">
        <v>0</v>
      </c>
    </row>
    <row r="12" spans="1:10" x14ac:dyDescent="0.2">
      <c r="A12" s="4" t="s">
        <v>29</v>
      </c>
      <c r="B12" s="4">
        <v>0</v>
      </c>
      <c r="C12" s="4">
        <v>10</v>
      </c>
      <c r="D12" s="5">
        <v>44957</v>
      </c>
      <c r="E12" s="4">
        <v>51120000</v>
      </c>
      <c r="F12" s="4" t="s">
        <v>31</v>
      </c>
      <c r="G12" s="6">
        <v>62</v>
      </c>
      <c r="H12" s="6"/>
      <c r="I12" s="6">
        <v>0</v>
      </c>
    </row>
    <row r="13" spans="1:10" x14ac:dyDescent="0.2">
      <c r="A13" s="4" t="s">
        <v>29</v>
      </c>
      <c r="B13" s="4">
        <v>0</v>
      </c>
      <c r="C13" s="4">
        <v>11</v>
      </c>
      <c r="D13" s="5">
        <v>44957</v>
      </c>
      <c r="E13" s="4">
        <v>53000000</v>
      </c>
      <c r="F13" s="4" t="s">
        <v>31</v>
      </c>
      <c r="G13" s="6">
        <v>17251</v>
      </c>
      <c r="H13" s="6"/>
      <c r="I13" s="6">
        <v>0</v>
      </c>
    </row>
    <row r="14" spans="1:10" x14ac:dyDescent="0.2">
      <c r="A14" s="4" t="s">
        <v>29</v>
      </c>
      <c r="B14" s="4">
        <v>0</v>
      </c>
      <c r="C14" s="4">
        <v>12</v>
      </c>
      <c r="D14" s="5">
        <v>44957</v>
      </c>
      <c r="E14" s="4">
        <v>51180000</v>
      </c>
      <c r="F14" s="4" t="s">
        <v>31</v>
      </c>
      <c r="G14" s="6">
        <v>1196</v>
      </c>
      <c r="H14" s="6"/>
      <c r="I14" s="6">
        <v>0</v>
      </c>
    </row>
    <row r="15" spans="1:10" x14ac:dyDescent="0.2">
      <c r="A15" s="4" t="s">
        <v>29</v>
      </c>
      <c r="B15" s="4">
        <v>0</v>
      </c>
      <c r="C15" s="4">
        <v>13</v>
      </c>
      <c r="D15" s="5">
        <v>44957</v>
      </c>
      <c r="E15" s="4">
        <v>53000000</v>
      </c>
      <c r="F15" s="4" t="s">
        <v>31</v>
      </c>
      <c r="G15" s="6">
        <v>0</v>
      </c>
      <c r="H15" s="6"/>
      <c r="I15" s="6">
        <v>920</v>
      </c>
    </row>
    <row r="16" spans="1:10" x14ac:dyDescent="0.2">
      <c r="A16" s="4"/>
      <c r="B16" s="4"/>
      <c r="C16" s="4"/>
      <c r="D16" s="4"/>
      <c r="E16" s="4"/>
      <c r="F16" s="4"/>
      <c r="G16" s="6">
        <v>0</v>
      </c>
      <c r="H16" s="6"/>
      <c r="I16" s="6">
        <v>0</v>
      </c>
    </row>
    <row r="17" spans="1:10" x14ac:dyDescent="0.2">
      <c r="A17" s="4" t="s">
        <v>29</v>
      </c>
      <c r="B17" s="4">
        <v>0</v>
      </c>
      <c r="C17" s="4">
        <v>14</v>
      </c>
      <c r="D17" s="5">
        <v>44957</v>
      </c>
      <c r="E17" s="4">
        <v>70100000</v>
      </c>
      <c r="F17" s="4" t="s">
        <v>32</v>
      </c>
      <c r="G17" s="6">
        <v>0</v>
      </c>
      <c r="H17" s="6"/>
      <c r="I17" s="6">
        <v>11306</v>
      </c>
      <c r="J17" s="7">
        <v>0.1</v>
      </c>
    </row>
    <row r="18" spans="1:10" x14ac:dyDescent="0.2">
      <c r="A18" s="4" t="s">
        <v>29</v>
      </c>
      <c r="B18" s="4">
        <v>0</v>
      </c>
      <c r="C18" s="4">
        <v>15</v>
      </c>
      <c r="D18" s="5">
        <v>44957</v>
      </c>
      <c r="E18" s="4">
        <v>44571160</v>
      </c>
      <c r="F18" s="4" t="s">
        <v>32</v>
      </c>
      <c r="G18" s="6">
        <v>0</v>
      </c>
      <c r="H18" s="6"/>
      <c r="I18" s="6">
        <v>1132</v>
      </c>
      <c r="J18" s="7">
        <v>0.1</v>
      </c>
    </row>
    <row r="19" spans="1:10" x14ac:dyDescent="0.2">
      <c r="A19" s="4" t="s">
        <v>29</v>
      </c>
      <c r="B19" s="4">
        <v>0</v>
      </c>
      <c r="C19" s="4">
        <v>16</v>
      </c>
      <c r="D19" s="5">
        <v>44957</v>
      </c>
      <c r="E19" s="4">
        <v>70101000</v>
      </c>
      <c r="F19" s="4" t="s">
        <v>32</v>
      </c>
      <c r="G19" s="6">
        <v>0</v>
      </c>
      <c r="H19" s="6"/>
      <c r="I19" s="6">
        <v>679</v>
      </c>
      <c r="J19" s="7">
        <v>0.2</v>
      </c>
    </row>
    <row r="20" spans="1:10" x14ac:dyDescent="0.2">
      <c r="A20" s="4" t="s">
        <v>29</v>
      </c>
      <c r="B20" s="4">
        <v>0</v>
      </c>
      <c r="C20" s="4">
        <v>17</v>
      </c>
      <c r="D20" s="5">
        <v>44957</v>
      </c>
      <c r="E20" s="4">
        <v>44571100</v>
      </c>
      <c r="F20" s="4" t="s">
        <v>32</v>
      </c>
      <c r="G20" s="6">
        <v>0</v>
      </c>
      <c r="H20" s="6"/>
      <c r="I20" s="6">
        <v>136</v>
      </c>
      <c r="J20" s="7">
        <v>0.2</v>
      </c>
    </row>
    <row r="21" spans="1:10" x14ac:dyDescent="0.2">
      <c r="A21" s="4" t="s">
        <v>29</v>
      </c>
      <c r="B21" s="4">
        <v>0</v>
      </c>
      <c r="C21" s="4">
        <v>18</v>
      </c>
      <c r="D21" s="5">
        <v>44957</v>
      </c>
      <c r="E21" s="4">
        <v>90000000</v>
      </c>
      <c r="F21" s="4" t="s">
        <v>32</v>
      </c>
      <c r="G21" s="6">
        <v>166</v>
      </c>
      <c r="H21" s="6"/>
      <c r="I21" s="6">
        <v>0</v>
      </c>
    </row>
    <row r="22" spans="1:10" x14ac:dyDescent="0.2">
      <c r="A22" s="4" t="s">
        <v>29</v>
      </c>
      <c r="B22" s="4">
        <v>0</v>
      </c>
      <c r="C22" s="4">
        <v>19</v>
      </c>
      <c r="D22" s="5">
        <v>44957</v>
      </c>
      <c r="E22" s="4">
        <v>90000000</v>
      </c>
      <c r="F22" s="4" t="s">
        <v>32</v>
      </c>
      <c r="G22" s="6">
        <v>131</v>
      </c>
      <c r="H22" s="6"/>
      <c r="I22" s="6">
        <v>0</v>
      </c>
    </row>
    <row r="23" spans="1:10" x14ac:dyDescent="0.2">
      <c r="A23" s="4" t="s">
        <v>29</v>
      </c>
      <c r="B23" s="4">
        <v>0</v>
      </c>
      <c r="C23" s="4">
        <v>20</v>
      </c>
      <c r="D23" s="5">
        <v>44957</v>
      </c>
      <c r="E23" s="4">
        <v>51150000</v>
      </c>
      <c r="F23" s="4" t="s">
        <v>32</v>
      </c>
      <c r="G23" s="6">
        <v>10352</v>
      </c>
      <c r="H23" s="6"/>
      <c r="I23" s="6">
        <v>0</v>
      </c>
    </row>
    <row r="24" spans="1:10" x14ac:dyDescent="0.2">
      <c r="A24" s="4" t="s">
        <v>29</v>
      </c>
      <c r="B24" s="4">
        <v>0</v>
      </c>
      <c r="C24" s="4">
        <v>21</v>
      </c>
      <c r="D24" s="5">
        <v>44957</v>
      </c>
      <c r="E24" s="4">
        <v>53000000</v>
      </c>
      <c r="F24" s="4" t="s">
        <v>32</v>
      </c>
      <c r="G24" s="6">
        <v>1957</v>
      </c>
      <c r="H24" s="6"/>
      <c r="I24" s="6">
        <v>0</v>
      </c>
    </row>
    <row r="25" spans="1:10" x14ac:dyDescent="0.2">
      <c r="A25" s="4" t="s">
        <v>29</v>
      </c>
      <c r="B25" s="4">
        <v>0</v>
      </c>
      <c r="C25" s="4">
        <v>22</v>
      </c>
      <c r="D25" s="5">
        <v>44957</v>
      </c>
      <c r="E25" s="4">
        <v>51180000</v>
      </c>
      <c r="F25" s="4" t="s">
        <v>32</v>
      </c>
      <c r="G25" s="6">
        <v>728</v>
      </c>
      <c r="H25" s="6"/>
      <c r="I25" s="6">
        <v>0</v>
      </c>
    </row>
    <row r="26" spans="1:10" x14ac:dyDescent="0.2">
      <c r="A26" s="4" t="s">
        <v>29</v>
      </c>
      <c r="B26" s="4">
        <v>0</v>
      </c>
      <c r="C26" s="4">
        <v>23</v>
      </c>
      <c r="D26" s="5">
        <v>44957</v>
      </c>
      <c r="E26" s="4">
        <v>53000000</v>
      </c>
      <c r="F26" s="4" t="s">
        <v>32</v>
      </c>
      <c r="G26" s="6">
        <v>0</v>
      </c>
      <c r="H26" s="6"/>
      <c r="I26" s="6">
        <v>82</v>
      </c>
    </row>
    <row r="27" spans="1:10" x14ac:dyDescent="0.2">
      <c r="A27" s="4"/>
      <c r="B27" s="4"/>
      <c r="C27" s="4"/>
      <c r="D27" s="4"/>
      <c r="E27" s="4"/>
      <c r="F27" s="4"/>
      <c r="G27" s="6">
        <v>0</v>
      </c>
      <c r="H27" s="6"/>
      <c r="I27" s="6">
        <v>0</v>
      </c>
    </row>
    <row r="28" spans="1:10" x14ac:dyDescent="0.2">
      <c r="A28" s="4" t="s">
        <v>29</v>
      </c>
      <c r="B28" s="4"/>
      <c r="C28" s="4"/>
      <c r="D28" s="4"/>
      <c r="E28" s="4"/>
      <c r="F28" s="4" t="s">
        <v>33</v>
      </c>
      <c r="G28" s="6">
        <v>1134</v>
      </c>
      <c r="H28" s="6"/>
      <c r="I28" s="6">
        <v>0</v>
      </c>
    </row>
    <row r="29" spans="1:10" x14ac:dyDescent="0.2">
      <c r="A29" s="4" t="s">
        <v>29</v>
      </c>
      <c r="B29" s="4"/>
      <c r="C29" s="4"/>
      <c r="D29" s="4"/>
      <c r="E29" s="4"/>
      <c r="F29" s="4" t="s">
        <v>34</v>
      </c>
      <c r="G29" s="6">
        <v>102119</v>
      </c>
      <c r="H29" s="6"/>
      <c r="I29" s="6">
        <v>103253</v>
      </c>
    </row>
    <row r="30" spans="1:10" x14ac:dyDescent="0.2">
      <c r="A30" s="4" t="s">
        <v>29</v>
      </c>
      <c r="B30" s="4"/>
      <c r="C30" s="4"/>
      <c r="D30" s="4"/>
      <c r="E30" s="4"/>
      <c r="F30" s="4" t="s">
        <v>35</v>
      </c>
      <c r="G30" s="6">
        <v>103253</v>
      </c>
      <c r="H30" s="6"/>
      <c r="I30" s="6">
        <v>103253</v>
      </c>
    </row>
    <row r="31" spans="1:10" x14ac:dyDescent="0.2">
      <c r="A31" s="4" t="s">
        <v>29</v>
      </c>
      <c r="B31" s="4"/>
      <c r="C31" s="4"/>
      <c r="D31" s="4"/>
      <c r="E31" s="4"/>
      <c r="F31" s="4" t="s">
        <v>36</v>
      </c>
      <c r="G31" s="6">
        <v>0</v>
      </c>
      <c r="H31" s="6"/>
      <c r="I31" s="6">
        <v>0</v>
      </c>
    </row>
    <row r="32" spans="1:10" x14ac:dyDescent="0.2">
      <c r="A32" s="4" t="s">
        <v>29</v>
      </c>
      <c r="B32" s="4">
        <v>0</v>
      </c>
      <c r="C32" s="4">
        <v>1</v>
      </c>
      <c r="D32" s="5">
        <v>44985</v>
      </c>
      <c r="E32" s="4">
        <v>70100001</v>
      </c>
      <c r="F32" s="4" t="s">
        <v>37</v>
      </c>
      <c r="G32" s="6">
        <v>0</v>
      </c>
      <c r="H32" s="6"/>
      <c r="I32" s="6">
        <v>66603</v>
      </c>
      <c r="J32" s="7">
        <v>0.1</v>
      </c>
    </row>
    <row r="33" spans="1:10" x14ac:dyDescent="0.2">
      <c r="A33" s="4" t="s">
        <v>29</v>
      </c>
      <c r="B33" s="4">
        <v>0</v>
      </c>
      <c r="C33" s="4">
        <v>2</v>
      </c>
      <c r="D33" s="5">
        <v>44985</v>
      </c>
      <c r="E33" s="4">
        <v>44571160</v>
      </c>
      <c r="F33" s="4" t="s">
        <v>37</v>
      </c>
      <c r="G33" s="6">
        <v>0</v>
      </c>
      <c r="H33" s="6"/>
      <c r="I33" s="6">
        <v>6667</v>
      </c>
      <c r="J33" s="7">
        <v>0.1</v>
      </c>
    </row>
    <row r="34" spans="1:10" x14ac:dyDescent="0.2">
      <c r="A34" s="4" t="s">
        <v>29</v>
      </c>
      <c r="B34" s="4">
        <v>0</v>
      </c>
      <c r="C34" s="4">
        <v>3</v>
      </c>
      <c r="D34" s="5">
        <v>44985</v>
      </c>
      <c r="E34" s="4">
        <v>70110000</v>
      </c>
      <c r="F34" s="4" t="s">
        <v>37</v>
      </c>
      <c r="G34" s="6">
        <v>0</v>
      </c>
      <c r="H34" s="6"/>
      <c r="I34" s="6">
        <v>15863</v>
      </c>
      <c r="J34" s="7">
        <v>0.2</v>
      </c>
    </row>
    <row r="35" spans="1:10" x14ac:dyDescent="0.2">
      <c r="A35" s="4" t="s">
        <v>29</v>
      </c>
      <c r="B35" s="4">
        <v>0</v>
      </c>
      <c r="C35" s="4">
        <v>4</v>
      </c>
      <c r="D35" s="5">
        <v>44985</v>
      </c>
      <c r="E35" s="4">
        <v>44571100</v>
      </c>
      <c r="F35" s="4" t="s">
        <v>37</v>
      </c>
      <c r="G35" s="6">
        <v>0</v>
      </c>
      <c r="H35" s="6"/>
      <c r="I35" s="6">
        <v>3172</v>
      </c>
      <c r="J35" s="7">
        <v>0.2</v>
      </c>
    </row>
    <row r="36" spans="1:10" x14ac:dyDescent="0.2">
      <c r="A36" s="4" t="s">
        <v>29</v>
      </c>
      <c r="B36" s="4">
        <v>0</v>
      </c>
      <c r="C36" s="4">
        <v>5</v>
      </c>
      <c r="D36" s="5">
        <v>44985</v>
      </c>
      <c r="E36" s="4">
        <v>70140000</v>
      </c>
      <c r="F36" s="4" t="s">
        <v>37</v>
      </c>
      <c r="G36" s="6">
        <v>0</v>
      </c>
      <c r="H36" s="6"/>
      <c r="I36" s="6">
        <v>130</v>
      </c>
    </row>
    <row r="37" spans="1:10" x14ac:dyDescent="0.2">
      <c r="A37" s="4" t="s">
        <v>29</v>
      </c>
      <c r="B37" s="4">
        <v>0</v>
      </c>
      <c r="C37" s="4">
        <v>6</v>
      </c>
      <c r="D37" s="5">
        <v>44985</v>
      </c>
      <c r="E37" s="4">
        <v>44571110</v>
      </c>
      <c r="F37" s="4" t="s">
        <v>37</v>
      </c>
      <c r="G37" s="6">
        <v>0</v>
      </c>
      <c r="H37" s="6"/>
      <c r="I37" s="6">
        <v>7</v>
      </c>
    </row>
    <row r="38" spans="1:10" x14ac:dyDescent="0.2">
      <c r="A38" s="4" t="s">
        <v>29</v>
      </c>
      <c r="B38" s="4">
        <v>0</v>
      </c>
      <c r="C38" s="4">
        <v>7</v>
      </c>
      <c r="D38" s="5">
        <v>44985</v>
      </c>
      <c r="E38" s="4">
        <v>79100000</v>
      </c>
      <c r="F38" s="4" t="s">
        <v>37</v>
      </c>
      <c r="G38" s="6">
        <v>0</v>
      </c>
      <c r="H38" s="6"/>
      <c r="I38" s="6">
        <v>548</v>
      </c>
    </row>
    <row r="39" spans="1:10" x14ac:dyDescent="0.2">
      <c r="A39" s="4" t="s">
        <v>29</v>
      </c>
      <c r="B39" s="4">
        <v>0</v>
      </c>
      <c r="C39" s="4">
        <v>8</v>
      </c>
      <c r="D39" s="5">
        <v>44985</v>
      </c>
      <c r="E39" s="4">
        <v>51150000</v>
      </c>
      <c r="F39" s="4" t="s">
        <v>37</v>
      </c>
      <c r="G39" s="6">
        <v>74557</v>
      </c>
      <c r="H39" s="6"/>
      <c r="I39" s="6">
        <v>0</v>
      </c>
    </row>
    <row r="40" spans="1:10" x14ac:dyDescent="0.2">
      <c r="A40" s="4" t="s">
        <v>29</v>
      </c>
      <c r="B40" s="4">
        <v>0</v>
      </c>
      <c r="C40" s="4">
        <v>9</v>
      </c>
      <c r="D40" s="5">
        <v>44985</v>
      </c>
      <c r="E40" s="4" t="s">
        <v>38</v>
      </c>
      <c r="F40" s="4" t="s">
        <v>37</v>
      </c>
      <c r="G40" s="6">
        <v>579</v>
      </c>
      <c r="H40" s="6"/>
      <c r="I40" s="6">
        <v>0</v>
      </c>
    </row>
    <row r="41" spans="1:10" x14ac:dyDescent="0.2">
      <c r="A41" s="4" t="s">
        <v>29</v>
      </c>
      <c r="B41" s="4">
        <v>0</v>
      </c>
      <c r="C41" s="4">
        <v>10</v>
      </c>
      <c r="D41" s="5">
        <v>44985</v>
      </c>
      <c r="E41" s="4">
        <v>53100000</v>
      </c>
      <c r="F41" s="4" t="s">
        <v>37</v>
      </c>
      <c r="G41" s="6">
        <v>17588</v>
      </c>
      <c r="H41" s="6"/>
      <c r="I41" s="6">
        <v>0</v>
      </c>
    </row>
    <row r="42" spans="1:10" x14ac:dyDescent="0.2">
      <c r="A42" s="4" t="s">
        <v>29</v>
      </c>
      <c r="B42" s="4">
        <v>0</v>
      </c>
      <c r="C42" s="4">
        <v>11</v>
      </c>
      <c r="D42" s="5">
        <v>44985</v>
      </c>
      <c r="E42" s="4">
        <v>51170000</v>
      </c>
      <c r="F42" s="4" t="s">
        <v>37</v>
      </c>
      <c r="G42" s="6">
        <v>900</v>
      </c>
      <c r="H42" s="6"/>
      <c r="I42" s="6">
        <v>0</v>
      </c>
    </row>
    <row r="43" spans="1:10" x14ac:dyDescent="0.2">
      <c r="A43" s="4" t="s">
        <v>29</v>
      </c>
      <c r="B43" s="4">
        <v>0</v>
      </c>
      <c r="C43" s="4">
        <v>12</v>
      </c>
      <c r="D43" s="5">
        <v>44985</v>
      </c>
      <c r="E43" s="4">
        <v>53100000</v>
      </c>
      <c r="F43" s="4" t="s">
        <v>37</v>
      </c>
      <c r="G43" s="6">
        <v>0</v>
      </c>
      <c r="H43" s="6"/>
      <c r="I43" s="6">
        <v>634</v>
      </c>
    </row>
    <row r="44" spans="1:10" x14ac:dyDescent="0.2">
      <c r="A44" s="4"/>
      <c r="B44" s="4"/>
      <c r="C44" s="4"/>
      <c r="D44" s="4"/>
      <c r="E44" s="4"/>
      <c r="F44" s="4"/>
      <c r="G44" s="6">
        <v>0</v>
      </c>
      <c r="H44" s="6"/>
      <c r="I44" s="6">
        <v>0</v>
      </c>
    </row>
    <row r="45" spans="1:10" x14ac:dyDescent="0.2">
      <c r="A45" s="4" t="s">
        <v>29</v>
      </c>
      <c r="B45" s="4">
        <v>0</v>
      </c>
      <c r="C45" s="4">
        <v>13</v>
      </c>
      <c r="D45" s="5">
        <v>44985</v>
      </c>
      <c r="E45" s="4">
        <v>70100000</v>
      </c>
      <c r="F45" s="4" t="s">
        <v>39</v>
      </c>
      <c r="G45" s="6">
        <v>0</v>
      </c>
      <c r="H45" s="6"/>
      <c r="I45" s="6">
        <v>7990</v>
      </c>
      <c r="J45" s="7">
        <v>0.1</v>
      </c>
    </row>
    <row r="46" spans="1:10" x14ac:dyDescent="0.2">
      <c r="A46" s="4" t="s">
        <v>29</v>
      </c>
      <c r="B46" s="4">
        <v>0</v>
      </c>
      <c r="C46" s="4">
        <v>14</v>
      </c>
      <c r="D46" s="5">
        <v>44985</v>
      </c>
      <c r="E46" s="4">
        <v>44571160</v>
      </c>
      <c r="F46" s="4" t="s">
        <v>39</v>
      </c>
      <c r="G46" s="6">
        <v>0</v>
      </c>
      <c r="H46" s="6"/>
      <c r="I46" s="6">
        <v>799</v>
      </c>
      <c r="J46" s="7">
        <v>0.1</v>
      </c>
    </row>
    <row r="47" spans="1:10" x14ac:dyDescent="0.2">
      <c r="A47" s="4" t="s">
        <v>29</v>
      </c>
      <c r="B47" s="4">
        <v>0</v>
      </c>
      <c r="C47" s="4">
        <v>15</v>
      </c>
      <c r="D47" s="5">
        <v>44985</v>
      </c>
      <c r="E47" s="4">
        <v>70101000</v>
      </c>
      <c r="F47" s="4" t="s">
        <v>39</v>
      </c>
      <c r="G47" s="6">
        <v>0</v>
      </c>
      <c r="H47" s="6"/>
      <c r="I47" s="6">
        <v>627</v>
      </c>
      <c r="J47" s="7">
        <v>0.2</v>
      </c>
    </row>
    <row r="48" spans="1:10" x14ac:dyDescent="0.2">
      <c r="A48" s="4" t="s">
        <v>29</v>
      </c>
      <c r="B48" s="4">
        <v>0</v>
      </c>
      <c r="C48" s="4">
        <v>16</v>
      </c>
      <c r="D48" s="5">
        <v>44985</v>
      </c>
      <c r="E48" s="4">
        <v>44571100</v>
      </c>
      <c r="F48" s="4" t="s">
        <v>39</v>
      </c>
      <c r="G48" s="6">
        <v>0</v>
      </c>
      <c r="H48" s="6"/>
      <c r="I48" s="6">
        <v>125</v>
      </c>
      <c r="J48" s="7">
        <v>0.2</v>
      </c>
    </row>
    <row r="49" spans="1:10" x14ac:dyDescent="0.2">
      <c r="A49" s="4" t="s">
        <v>29</v>
      </c>
      <c r="B49" s="4">
        <v>0</v>
      </c>
      <c r="C49" s="4">
        <v>17</v>
      </c>
      <c r="D49" s="5">
        <v>44985</v>
      </c>
      <c r="E49" s="4">
        <v>51150000</v>
      </c>
      <c r="F49" s="4" t="s">
        <v>39</v>
      </c>
      <c r="G49" s="6">
        <v>8235</v>
      </c>
      <c r="H49" s="6"/>
      <c r="I49" s="6">
        <v>0</v>
      </c>
    </row>
    <row r="50" spans="1:10" x14ac:dyDescent="0.2">
      <c r="A50" s="4" t="s">
        <v>29</v>
      </c>
      <c r="B50" s="4">
        <v>0</v>
      </c>
      <c r="C50" s="4">
        <v>18</v>
      </c>
      <c r="D50" s="5">
        <v>44985</v>
      </c>
      <c r="E50" s="4">
        <v>53100000</v>
      </c>
      <c r="F50" s="4" t="s">
        <v>39</v>
      </c>
      <c r="G50" s="6">
        <v>1039</v>
      </c>
      <c r="H50" s="6"/>
      <c r="I50" s="6">
        <v>0</v>
      </c>
    </row>
    <row r="51" spans="1:10" x14ac:dyDescent="0.2">
      <c r="A51" s="4" t="s">
        <v>29</v>
      </c>
      <c r="B51" s="4">
        <v>0</v>
      </c>
      <c r="C51" s="4">
        <v>19</v>
      </c>
      <c r="D51" s="5">
        <v>44985</v>
      </c>
      <c r="E51" s="4">
        <v>51170000</v>
      </c>
      <c r="F51" s="4" t="s">
        <v>39</v>
      </c>
      <c r="G51" s="6">
        <v>327</v>
      </c>
      <c r="H51" s="6"/>
      <c r="I51" s="6">
        <v>0</v>
      </c>
    </row>
    <row r="52" spans="1:10" x14ac:dyDescent="0.2">
      <c r="A52" s="4" t="s">
        <v>29</v>
      </c>
      <c r="B52" s="4">
        <v>0</v>
      </c>
      <c r="C52" s="4">
        <v>20</v>
      </c>
      <c r="D52" s="5">
        <v>44985</v>
      </c>
      <c r="E52" s="4">
        <v>53100000</v>
      </c>
      <c r="F52" s="4" t="s">
        <v>39</v>
      </c>
      <c r="G52" s="6">
        <v>0</v>
      </c>
      <c r="H52" s="6"/>
      <c r="I52" s="6">
        <v>59</v>
      </c>
    </row>
    <row r="53" spans="1:10" x14ac:dyDescent="0.2">
      <c r="A53" s="4"/>
      <c r="B53" s="4"/>
      <c r="C53" s="4"/>
      <c r="D53" s="4"/>
      <c r="E53" s="4"/>
      <c r="F53" s="4"/>
      <c r="G53" s="6">
        <v>0</v>
      </c>
      <c r="H53" s="6"/>
      <c r="I53" s="6">
        <v>0</v>
      </c>
    </row>
    <row r="54" spans="1:10" x14ac:dyDescent="0.2">
      <c r="A54" s="4" t="s">
        <v>29</v>
      </c>
      <c r="B54" s="4"/>
      <c r="C54" s="4"/>
      <c r="D54" s="4"/>
      <c r="E54" s="4"/>
      <c r="F54" s="4" t="s">
        <v>33</v>
      </c>
      <c r="G54" s="6">
        <v>579</v>
      </c>
      <c r="H54" s="6"/>
      <c r="I54" s="6">
        <v>0</v>
      </c>
    </row>
    <row r="55" spans="1:10" x14ac:dyDescent="0.2">
      <c r="A55" s="4" t="s">
        <v>29</v>
      </c>
      <c r="B55" s="4"/>
      <c r="C55" s="4"/>
      <c r="D55" s="4"/>
      <c r="E55" s="4"/>
      <c r="F55" s="4" t="s">
        <v>34</v>
      </c>
      <c r="G55" s="6">
        <v>102647</v>
      </c>
      <c r="H55" s="6"/>
      <c r="I55" s="6">
        <v>103226</v>
      </c>
    </row>
    <row r="56" spans="1:10" x14ac:dyDescent="0.2">
      <c r="A56" s="4" t="s">
        <v>29</v>
      </c>
      <c r="B56" s="4"/>
      <c r="C56" s="4"/>
      <c r="D56" s="4"/>
      <c r="E56" s="4"/>
      <c r="F56" s="4" t="s">
        <v>40</v>
      </c>
      <c r="G56" s="6">
        <v>103226</v>
      </c>
      <c r="H56" s="6"/>
      <c r="I56" s="6">
        <v>103226</v>
      </c>
    </row>
    <row r="57" spans="1:10" x14ac:dyDescent="0.2">
      <c r="A57" s="4" t="s">
        <v>29</v>
      </c>
      <c r="B57" s="4"/>
      <c r="C57" s="4"/>
      <c r="D57" s="4"/>
      <c r="E57" s="4"/>
      <c r="F57" s="4" t="s">
        <v>41</v>
      </c>
      <c r="G57" s="6">
        <v>0</v>
      </c>
      <c r="H57" s="6"/>
      <c r="I57" s="6">
        <v>0</v>
      </c>
    </row>
    <row r="58" spans="1:10" x14ac:dyDescent="0.2">
      <c r="A58" s="4" t="s">
        <v>29</v>
      </c>
      <c r="B58" s="4">
        <v>0</v>
      </c>
      <c r="C58" s="4">
        <v>1</v>
      </c>
      <c r="D58" s="5">
        <v>45016</v>
      </c>
      <c r="E58" s="4">
        <v>79140000</v>
      </c>
      <c r="F58" s="4" t="s">
        <v>42</v>
      </c>
      <c r="G58" s="6">
        <v>0</v>
      </c>
      <c r="H58" s="6"/>
      <c r="I58" s="6">
        <v>45</v>
      </c>
    </row>
    <row r="59" spans="1:10" x14ac:dyDescent="0.2">
      <c r="A59" s="4" t="s">
        <v>29</v>
      </c>
      <c r="B59" s="4">
        <v>0</v>
      </c>
      <c r="C59" s="4">
        <v>2</v>
      </c>
      <c r="D59" s="5">
        <v>45016</v>
      </c>
      <c r="E59" s="4">
        <v>70100001</v>
      </c>
      <c r="F59" s="4" t="s">
        <v>42</v>
      </c>
      <c r="G59" s="6">
        <v>0</v>
      </c>
      <c r="H59" s="6"/>
      <c r="I59" s="6">
        <v>64381</v>
      </c>
      <c r="J59" s="7">
        <v>0.1</v>
      </c>
    </row>
    <row r="60" spans="1:10" x14ac:dyDescent="0.2">
      <c r="A60" s="4" t="s">
        <v>29</v>
      </c>
      <c r="B60" s="4">
        <v>0</v>
      </c>
      <c r="C60" s="4">
        <v>3</v>
      </c>
      <c r="D60" s="5">
        <v>45016</v>
      </c>
      <c r="E60" s="4">
        <v>44571160</v>
      </c>
      <c r="F60" s="4" t="s">
        <v>42</v>
      </c>
      <c r="G60" s="6">
        <v>0</v>
      </c>
      <c r="H60" s="6"/>
      <c r="I60" s="6">
        <v>6444</v>
      </c>
      <c r="J60" s="7">
        <v>0.1</v>
      </c>
    </row>
    <row r="61" spans="1:10" x14ac:dyDescent="0.2">
      <c r="A61" s="4" t="s">
        <v>29</v>
      </c>
      <c r="B61" s="4">
        <v>0</v>
      </c>
      <c r="C61" s="4">
        <v>4</v>
      </c>
      <c r="D61" s="5">
        <v>45016</v>
      </c>
      <c r="E61" s="4">
        <v>70110000</v>
      </c>
      <c r="F61" s="4" t="s">
        <v>42</v>
      </c>
      <c r="G61" s="6">
        <v>0</v>
      </c>
      <c r="H61" s="6"/>
      <c r="I61" s="6">
        <v>16101</v>
      </c>
      <c r="J61" s="7">
        <v>0.2</v>
      </c>
    </row>
    <row r="62" spans="1:10" x14ac:dyDescent="0.2">
      <c r="A62" s="4" t="s">
        <v>29</v>
      </c>
      <c r="B62" s="4">
        <v>0</v>
      </c>
      <c r="C62" s="4">
        <v>5</v>
      </c>
      <c r="D62" s="5">
        <v>45016</v>
      </c>
      <c r="E62" s="4">
        <v>44571100</v>
      </c>
      <c r="F62" s="4" t="s">
        <v>42</v>
      </c>
      <c r="G62" s="6">
        <v>0</v>
      </c>
      <c r="H62" s="6"/>
      <c r="I62" s="6">
        <v>3220</v>
      </c>
      <c r="J62" s="7">
        <v>0.2</v>
      </c>
    </row>
    <row r="63" spans="1:10" x14ac:dyDescent="0.2">
      <c r="A63" s="4" t="s">
        <v>29</v>
      </c>
      <c r="B63" s="4">
        <v>0</v>
      </c>
      <c r="C63" s="4">
        <v>6</v>
      </c>
      <c r="D63" s="5">
        <v>45016</v>
      </c>
      <c r="E63" s="4">
        <v>70140000</v>
      </c>
      <c r="F63" s="4" t="s">
        <v>42</v>
      </c>
      <c r="G63" s="6">
        <v>0</v>
      </c>
      <c r="H63" s="6"/>
      <c r="I63" s="6">
        <v>86</v>
      </c>
    </row>
    <row r="64" spans="1:10" x14ac:dyDescent="0.2">
      <c r="A64" s="4" t="s">
        <v>29</v>
      </c>
      <c r="B64" s="4">
        <v>0</v>
      </c>
      <c r="C64" s="4">
        <v>7</v>
      </c>
      <c r="D64" s="5">
        <v>45016</v>
      </c>
      <c r="E64" s="4">
        <v>44571110</v>
      </c>
      <c r="F64" s="4" t="s">
        <v>42</v>
      </c>
      <c r="G64" s="6">
        <v>0</v>
      </c>
      <c r="H64" s="6"/>
      <c r="I64" s="6">
        <v>5</v>
      </c>
    </row>
    <row r="65" spans="1:10" x14ac:dyDescent="0.2">
      <c r="A65" s="4" t="s">
        <v>29</v>
      </c>
      <c r="B65" s="4">
        <v>0</v>
      </c>
      <c r="C65" s="4">
        <v>8</v>
      </c>
      <c r="D65" s="5">
        <v>45016</v>
      </c>
      <c r="E65" s="4">
        <v>51150000</v>
      </c>
      <c r="F65" s="4" t="s">
        <v>42</v>
      </c>
      <c r="G65" s="6">
        <v>73823</v>
      </c>
      <c r="H65" s="6"/>
      <c r="I65" s="6">
        <v>0</v>
      </c>
    </row>
    <row r="66" spans="1:10" x14ac:dyDescent="0.2">
      <c r="A66" s="4" t="s">
        <v>29</v>
      </c>
      <c r="B66" s="4">
        <v>0</v>
      </c>
      <c r="C66" s="4">
        <v>9</v>
      </c>
      <c r="D66" s="5">
        <v>45016</v>
      </c>
      <c r="E66" s="4" t="s">
        <v>38</v>
      </c>
      <c r="F66" s="4" t="s">
        <v>42</v>
      </c>
      <c r="G66" s="6">
        <v>1187</v>
      </c>
      <c r="H66" s="6"/>
      <c r="I66" s="6">
        <v>0</v>
      </c>
    </row>
    <row r="67" spans="1:10" x14ac:dyDescent="0.2">
      <c r="A67" s="4" t="s">
        <v>29</v>
      </c>
      <c r="B67" s="4">
        <v>0</v>
      </c>
      <c r="C67" s="4">
        <v>10</v>
      </c>
      <c r="D67" s="5">
        <v>45016</v>
      </c>
      <c r="E67" s="4">
        <v>51120000</v>
      </c>
      <c r="F67" s="4" t="s">
        <v>42</v>
      </c>
      <c r="G67" s="6">
        <v>101</v>
      </c>
      <c r="H67" s="6"/>
      <c r="I67" s="6">
        <v>0</v>
      </c>
    </row>
    <row r="68" spans="1:10" x14ac:dyDescent="0.2">
      <c r="A68" s="4" t="s">
        <v>29</v>
      </c>
      <c r="B68" s="4">
        <v>0</v>
      </c>
      <c r="C68" s="4">
        <v>11</v>
      </c>
      <c r="D68" s="5">
        <v>45016</v>
      </c>
      <c r="E68" s="4">
        <v>53100000</v>
      </c>
      <c r="F68" s="4" t="s">
        <v>42</v>
      </c>
      <c r="G68" s="6">
        <v>15199</v>
      </c>
      <c r="H68" s="6"/>
      <c r="I68" s="6">
        <v>0</v>
      </c>
    </row>
    <row r="69" spans="1:10" x14ac:dyDescent="0.2">
      <c r="A69" s="4" t="s">
        <v>29</v>
      </c>
      <c r="B69" s="4">
        <v>0</v>
      </c>
      <c r="C69" s="4">
        <v>12</v>
      </c>
      <c r="D69" s="5">
        <v>45016</v>
      </c>
      <c r="E69" s="4">
        <v>51170000</v>
      </c>
      <c r="F69" s="4" t="s">
        <v>42</v>
      </c>
      <c r="G69" s="6">
        <v>834</v>
      </c>
      <c r="H69" s="6"/>
      <c r="I69" s="6">
        <v>0</v>
      </c>
    </row>
    <row r="70" spans="1:10" x14ac:dyDescent="0.2">
      <c r="A70" s="4" t="s">
        <v>29</v>
      </c>
      <c r="B70" s="4">
        <v>0</v>
      </c>
      <c r="C70" s="4">
        <v>13</v>
      </c>
      <c r="D70" s="5">
        <v>45016</v>
      </c>
      <c r="E70" s="4">
        <v>53100000</v>
      </c>
      <c r="F70" s="4" t="s">
        <v>42</v>
      </c>
      <c r="G70" s="6">
        <v>0</v>
      </c>
      <c r="H70" s="6"/>
      <c r="I70" s="6">
        <v>862</v>
      </c>
    </row>
    <row r="71" spans="1:10" x14ac:dyDescent="0.2">
      <c r="A71" s="4"/>
      <c r="B71" s="4"/>
      <c r="C71" s="4"/>
      <c r="D71" s="4"/>
      <c r="E71" s="4"/>
      <c r="F71" s="4"/>
      <c r="G71" s="6">
        <v>0</v>
      </c>
      <c r="H71" s="6"/>
      <c r="I71" s="6">
        <v>0</v>
      </c>
    </row>
    <row r="72" spans="1:10" x14ac:dyDescent="0.2">
      <c r="A72" s="4" t="s">
        <v>29</v>
      </c>
      <c r="B72" s="4">
        <v>0</v>
      </c>
      <c r="C72" s="4">
        <v>14</v>
      </c>
      <c r="D72" s="5">
        <v>45016</v>
      </c>
      <c r="E72" s="4">
        <v>70100000</v>
      </c>
      <c r="F72" s="4" t="s">
        <v>43</v>
      </c>
      <c r="G72" s="6">
        <v>0</v>
      </c>
      <c r="H72" s="6"/>
      <c r="I72" s="6">
        <v>15114</v>
      </c>
      <c r="J72" s="7">
        <v>0.1</v>
      </c>
    </row>
    <row r="73" spans="1:10" x14ac:dyDescent="0.2">
      <c r="A73" s="4" t="s">
        <v>29</v>
      </c>
      <c r="B73" s="4">
        <v>0</v>
      </c>
      <c r="C73" s="4">
        <v>15</v>
      </c>
      <c r="D73" s="5">
        <v>45016</v>
      </c>
      <c r="E73" s="4">
        <v>44571160</v>
      </c>
      <c r="F73" s="4" t="s">
        <v>43</v>
      </c>
      <c r="G73" s="6">
        <v>0</v>
      </c>
      <c r="H73" s="6"/>
      <c r="I73" s="6">
        <v>1512</v>
      </c>
      <c r="J73" s="7">
        <v>0.1</v>
      </c>
    </row>
    <row r="74" spans="1:10" x14ac:dyDescent="0.2">
      <c r="A74" s="4" t="s">
        <v>29</v>
      </c>
      <c r="B74" s="4">
        <v>0</v>
      </c>
      <c r="C74" s="4">
        <v>16</v>
      </c>
      <c r="D74" s="5">
        <v>45016</v>
      </c>
      <c r="E74" s="4">
        <v>70101000</v>
      </c>
      <c r="F74" s="4" t="s">
        <v>43</v>
      </c>
      <c r="G74" s="6">
        <v>0</v>
      </c>
      <c r="H74" s="6"/>
      <c r="I74" s="6">
        <v>1284</v>
      </c>
      <c r="J74" s="7">
        <v>0.2</v>
      </c>
    </row>
    <row r="75" spans="1:10" x14ac:dyDescent="0.2">
      <c r="A75" s="4" t="s">
        <v>29</v>
      </c>
      <c r="B75" s="4">
        <v>0</v>
      </c>
      <c r="C75" s="4">
        <v>17</v>
      </c>
      <c r="D75" s="5">
        <v>45016</v>
      </c>
      <c r="E75" s="4">
        <v>44571100</v>
      </c>
      <c r="F75" s="4" t="s">
        <v>43</v>
      </c>
      <c r="G75" s="6">
        <v>0</v>
      </c>
      <c r="H75" s="6"/>
      <c r="I75" s="6">
        <v>257</v>
      </c>
      <c r="J75" s="7">
        <v>0.2</v>
      </c>
    </row>
    <row r="76" spans="1:10" x14ac:dyDescent="0.2">
      <c r="A76" s="4" t="s">
        <v>29</v>
      </c>
      <c r="B76" s="4">
        <v>0</v>
      </c>
      <c r="C76" s="4">
        <v>18</v>
      </c>
      <c r="D76" s="5">
        <v>45016</v>
      </c>
      <c r="E76" s="4" t="s">
        <v>38</v>
      </c>
      <c r="F76" s="4" t="s">
        <v>43</v>
      </c>
      <c r="G76" s="6">
        <v>2</v>
      </c>
      <c r="H76" s="6"/>
      <c r="I76" s="6">
        <v>0</v>
      </c>
    </row>
    <row r="77" spans="1:10" x14ac:dyDescent="0.2">
      <c r="A77" s="4" t="s">
        <v>29</v>
      </c>
      <c r="B77" s="4">
        <v>0</v>
      </c>
      <c r="C77" s="4">
        <v>19</v>
      </c>
      <c r="D77" s="5">
        <v>45016</v>
      </c>
      <c r="E77" s="4" t="s">
        <v>38</v>
      </c>
      <c r="F77" s="4" t="s">
        <v>44</v>
      </c>
      <c r="G77" s="6">
        <v>36</v>
      </c>
      <c r="H77" s="6"/>
      <c r="I77" s="6">
        <v>0</v>
      </c>
    </row>
    <row r="78" spans="1:10" x14ac:dyDescent="0.2">
      <c r="A78" s="4" t="s">
        <v>29</v>
      </c>
      <c r="B78" s="4">
        <v>0</v>
      </c>
      <c r="C78" s="4">
        <v>20</v>
      </c>
      <c r="D78" s="5">
        <v>45016</v>
      </c>
      <c r="E78" s="4">
        <v>51150000</v>
      </c>
      <c r="F78" s="4" t="s">
        <v>44</v>
      </c>
      <c r="G78" s="6">
        <v>14917</v>
      </c>
      <c r="H78" s="6"/>
      <c r="I78" s="6">
        <v>0</v>
      </c>
    </row>
    <row r="79" spans="1:10" x14ac:dyDescent="0.2">
      <c r="A79" s="4" t="s">
        <v>29</v>
      </c>
      <c r="B79" s="4">
        <v>0</v>
      </c>
      <c r="C79" s="4">
        <v>21</v>
      </c>
      <c r="D79" s="5">
        <v>45016</v>
      </c>
      <c r="E79" s="4">
        <v>53100000</v>
      </c>
      <c r="F79" s="4" t="s">
        <v>44</v>
      </c>
      <c r="G79" s="6">
        <v>2128</v>
      </c>
      <c r="H79" s="6"/>
      <c r="I79" s="6">
        <v>0</v>
      </c>
    </row>
    <row r="80" spans="1:10" x14ac:dyDescent="0.2">
      <c r="A80" s="4" t="s">
        <v>29</v>
      </c>
      <c r="B80" s="4">
        <v>0</v>
      </c>
      <c r="C80" s="4">
        <v>22</v>
      </c>
      <c r="D80" s="5">
        <v>45016</v>
      </c>
      <c r="E80" s="4">
        <v>51170000</v>
      </c>
      <c r="F80" s="4" t="s">
        <v>44</v>
      </c>
      <c r="G80" s="6">
        <v>935</v>
      </c>
      <c r="H80" s="6"/>
      <c r="I80" s="6">
        <v>0</v>
      </c>
    </row>
    <row r="81" spans="1:10" x14ac:dyDescent="0.2">
      <c r="A81" s="4" t="s">
        <v>29</v>
      </c>
      <c r="B81" s="4">
        <v>0</v>
      </c>
      <c r="C81" s="4">
        <v>23</v>
      </c>
      <c r="D81" s="5">
        <v>45016</v>
      </c>
      <c r="E81" s="4" t="s">
        <v>38</v>
      </c>
      <c r="F81" s="4" t="s">
        <v>44</v>
      </c>
      <c r="G81" s="6">
        <v>290</v>
      </c>
      <c r="H81" s="6"/>
      <c r="I81" s="6">
        <v>0</v>
      </c>
    </row>
    <row r="82" spans="1:10" x14ac:dyDescent="0.2">
      <c r="A82" s="4" t="s">
        <v>29</v>
      </c>
      <c r="B82" s="4">
        <v>0</v>
      </c>
      <c r="C82" s="4">
        <v>24</v>
      </c>
      <c r="D82" s="5">
        <v>45016</v>
      </c>
      <c r="E82" s="4">
        <v>53100000</v>
      </c>
      <c r="F82" s="4" t="s">
        <v>44</v>
      </c>
      <c r="G82" s="6">
        <v>0</v>
      </c>
      <c r="H82" s="6"/>
      <c r="I82" s="6">
        <v>142</v>
      </c>
    </row>
    <row r="83" spans="1:10" x14ac:dyDescent="0.2">
      <c r="A83" s="4"/>
      <c r="B83" s="4"/>
      <c r="C83" s="4"/>
      <c r="D83" s="4"/>
      <c r="E83" s="4"/>
      <c r="F83" s="4"/>
      <c r="G83" s="6">
        <v>0</v>
      </c>
      <c r="H83" s="6"/>
      <c r="I83" s="6">
        <v>0</v>
      </c>
    </row>
    <row r="84" spans="1:10" x14ac:dyDescent="0.2">
      <c r="A84" s="4" t="s">
        <v>29</v>
      </c>
      <c r="B84" s="4"/>
      <c r="C84" s="4"/>
      <c r="D84" s="4"/>
      <c r="E84" s="4"/>
      <c r="F84" s="4" t="s">
        <v>33</v>
      </c>
      <c r="G84" s="6">
        <v>1515</v>
      </c>
      <c r="H84" s="6"/>
      <c r="I84" s="6">
        <v>0</v>
      </c>
    </row>
    <row r="85" spans="1:10" x14ac:dyDescent="0.2">
      <c r="A85" s="4" t="s">
        <v>29</v>
      </c>
      <c r="B85" s="4"/>
      <c r="C85" s="4"/>
      <c r="D85" s="4"/>
      <c r="E85" s="4"/>
      <c r="F85" s="4" t="s">
        <v>34</v>
      </c>
      <c r="G85" s="6">
        <v>107938</v>
      </c>
      <c r="H85" s="6"/>
      <c r="I85" s="6">
        <v>109453</v>
      </c>
    </row>
    <row r="86" spans="1:10" x14ac:dyDescent="0.2">
      <c r="A86" s="4" t="s">
        <v>29</v>
      </c>
      <c r="B86" s="4"/>
      <c r="C86" s="4"/>
      <c r="D86" s="4"/>
      <c r="E86" s="4"/>
      <c r="F86" s="4" t="s">
        <v>45</v>
      </c>
      <c r="G86" s="6">
        <v>109453</v>
      </c>
      <c r="H86" s="6"/>
      <c r="I86" s="6">
        <v>109453</v>
      </c>
    </row>
    <row r="87" spans="1:10" x14ac:dyDescent="0.2">
      <c r="A87" s="4" t="s">
        <v>29</v>
      </c>
      <c r="B87" s="4"/>
      <c r="C87" s="4"/>
      <c r="D87" s="4"/>
      <c r="E87" s="4"/>
      <c r="F87" s="4" t="s">
        <v>46</v>
      </c>
      <c r="G87" s="6">
        <v>0</v>
      </c>
      <c r="H87" s="6"/>
      <c r="I87" s="6">
        <v>0</v>
      </c>
    </row>
    <row r="88" spans="1:10" x14ac:dyDescent="0.2">
      <c r="A88" s="4" t="s">
        <v>29</v>
      </c>
      <c r="B88" s="4">
        <v>0</v>
      </c>
      <c r="C88" s="4">
        <v>1</v>
      </c>
      <c r="D88" s="5">
        <v>45046</v>
      </c>
      <c r="E88" s="4">
        <v>79140000</v>
      </c>
      <c r="F88" s="4" t="s">
        <v>47</v>
      </c>
      <c r="G88" s="6">
        <v>0</v>
      </c>
      <c r="H88" s="6"/>
      <c r="I88" s="6">
        <v>75</v>
      </c>
    </row>
    <row r="89" spans="1:10" x14ac:dyDescent="0.2">
      <c r="A89" s="4" t="s">
        <v>29</v>
      </c>
      <c r="B89" s="4">
        <v>0</v>
      </c>
      <c r="C89" s="4">
        <v>2</v>
      </c>
      <c r="D89" s="5">
        <v>45046</v>
      </c>
      <c r="E89" s="4">
        <v>70100001</v>
      </c>
      <c r="F89" s="4" t="s">
        <v>47</v>
      </c>
      <c r="G89" s="6">
        <v>0</v>
      </c>
      <c r="H89" s="6"/>
      <c r="I89" s="6">
        <v>90522</v>
      </c>
      <c r="J89" s="7">
        <v>0.1</v>
      </c>
    </row>
    <row r="90" spans="1:10" x14ac:dyDescent="0.2">
      <c r="A90" s="4" t="s">
        <v>29</v>
      </c>
      <c r="B90" s="4">
        <v>0</v>
      </c>
      <c r="C90" s="4">
        <v>3</v>
      </c>
      <c r="D90" s="5">
        <v>45046</v>
      </c>
      <c r="E90" s="4">
        <v>44571160</v>
      </c>
      <c r="F90" s="4" t="s">
        <v>47</v>
      </c>
      <c r="G90" s="6">
        <v>0</v>
      </c>
      <c r="H90" s="6"/>
      <c r="I90" s="6">
        <v>9061</v>
      </c>
      <c r="J90" s="7">
        <v>0.1</v>
      </c>
    </row>
    <row r="91" spans="1:10" x14ac:dyDescent="0.2">
      <c r="A91" s="4" t="s">
        <v>29</v>
      </c>
      <c r="B91" s="4">
        <v>0</v>
      </c>
      <c r="C91" s="4">
        <v>4</v>
      </c>
      <c r="D91" s="5">
        <v>45046</v>
      </c>
      <c r="E91" s="4">
        <v>70110000</v>
      </c>
      <c r="F91" s="4" t="s">
        <v>47</v>
      </c>
      <c r="G91" s="6">
        <v>0</v>
      </c>
      <c r="H91" s="6"/>
      <c r="I91" s="6">
        <v>20979</v>
      </c>
      <c r="J91" s="7">
        <v>0.2</v>
      </c>
    </row>
    <row r="92" spans="1:10" x14ac:dyDescent="0.2">
      <c r="A92" s="4" t="s">
        <v>29</v>
      </c>
      <c r="B92" s="4">
        <v>0</v>
      </c>
      <c r="C92" s="4">
        <v>5</v>
      </c>
      <c r="D92" s="5">
        <v>45046</v>
      </c>
      <c r="E92" s="4">
        <v>44571100</v>
      </c>
      <c r="F92" s="4" t="s">
        <v>47</v>
      </c>
      <c r="G92" s="6">
        <v>0</v>
      </c>
      <c r="H92" s="6"/>
      <c r="I92" s="6">
        <v>4195</v>
      </c>
      <c r="J92" s="7">
        <v>0.2</v>
      </c>
    </row>
    <row r="93" spans="1:10" x14ac:dyDescent="0.2">
      <c r="A93" s="4" t="s">
        <v>29</v>
      </c>
      <c r="B93" s="4">
        <v>0</v>
      </c>
      <c r="C93" s="4">
        <v>6</v>
      </c>
      <c r="D93" s="5">
        <v>45046</v>
      </c>
      <c r="E93" s="4">
        <v>70140000</v>
      </c>
      <c r="F93" s="4" t="s">
        <v>47</v>
      </c>
      <c r="G93" s="6">
        <v>0</v>
      </c>
      <c r="H93" s="6"/>
      <c r="I93" s="6">
        <v>228</v>
      </c>
    </row>
    <row r="94" spans="1:10" x14ac:dyDescent="0.2">
      <c r="A94" s="4" t="s">
        <v>29</v>
      </c>
      <c r="B94" s="4">
        <v>0</v>
      </c>
      <c r="C94" s="4">
        <v>7</v>
      </c>
      <c r="D94" s="5">
        <v>45046</v>
      </c>
      <c r="E94" s="4">
        <v>44571110</v>
      </c>
      <c r="F94" s="4" t="s">
        <v>47</v>
      </c>
      <c r="G94" s="6">
        <v>0</v>
      </c>
      <c r="H94" s="6"/>
      <c r="I94" s="6">
        <v>13</v>
      </c>
    </row>
    <row r="95" spans="1:10" x14ac:dyDescent="0.2">
      <c r="A95" s="4" t="s">
        <v>29</v>
      </c>
      <c r="B95" s="4">
        <v>0</v>
      </c>
      <c r="C95" s="4">
        <v>8</v>
      </c>
      <c r="D95" s="5">
        <v>45046</v>
      </c>
      <c r="E95" s="4" t="s">
        <v>48</v>
      </c>
      <c r="F95" s="4" t="s">
        <v>47</v>
      </c>
      <c r="G95" s="6">
        <v>539</v>
      </c>
      <c r="H95" s="6"/>
      <c r="I95" s="6">
        <v>0</v>
      </c>
    </row>
    <row r="96" spans="1:10" x14ac:dyDescent="0.2">
      <c r="A96" s="4" t="s">
        <v>29</v>
      </c>
      <c r="B96" s="4">
        <v>0</v>
      </c>
      <c r="C96" s="4">
        <v>9</v>
      </c>
      <c r="D96" s="5">
        <v>45046</v>
      </c>
      <c r="E96" s="4">
        <v>51150000</v>
      </c>
      <c r="F96" s="4" t="s">
        <v>47</v>
      </c>
      <c r="G96" s="6">
        <v>101292</v>
      </c>
      <c r="H96" s="6"/>
      <c r="I96" s="6">
        <v>0</v>
      </c>
    </row>
    <row r="97" spans="1:10" x14ac:dyDescent="0.2">
      <c r="A97" s="4" t="s">
        <v>29</v>
      </c>
      <c r="B97" s="4">
        <v>0</v>
      </c>
      <c r="C97" s="4">
        <v>10</v>
      </c>
      <c r="D97" s="5">
        <v>45046</v>
      </c>
      <c r="E97" s="4">
        <v>51120000</v>
      </c>
      <c r="F97" s="4" t="s">
        <v>47</v>
      </c>
      <c r="G97" s="6">
        <v>1493</v>
      </c>
      <c r="H97" s="6"/>
      <c r="I97" s="6">
        <v>0</v>
      </c>
    </row>
    <row r="98" spans="1:10" x14ac:dyDescent="0.2">
      <c r="A98" s="4" t="s">
        <v>29</v>
      </c>
      <c r="B98" s="4">
        <v>0</v>
      </c>
      <c r="C98" s="4">
        <v>11</v>
      </c>
      <c r="D98" s="5">
        <v>45046</v>
      </c>
      <c r="E98" s="4">
        <v>53100000</v>
      </c>
      <c r="F98" s="4" t="s">
        <v>47</v>
      </c>
      <c r="G98" s="6">
        <v>22493</v>
      </c>
      <c r="H98" s="6"/>
      <c r="I98" s="6">
        <v>0</v>
      </c>
    </row>
    <row r="99" spans="1:10" x14ac:dyDescent="0.2">
      <c r="A99" s="4" t="s">
        <v>29</v>
      </c>
      <c r="B99" s="4">
        <v>0</v>
      </c>
      <c r="C99" s="4">
        <v>12</v>
      </c>
      <c r="D99" s="5">
        <v>45046</v>
      </c>
      <c r="E99" s="4">
        <v>51170000</v>
      </c>
      <c r="F99" s="4" t="s">
        <v>47</v>
      </c>
      <c r="G99" s="6">
        <v>641</v>
      </c>
      <c r="H99" s="6"/>
      <c r="I99" s="6">
        <v>0</v>
      </c>
    </row>
    <row r="100" spans="1:10" x14ac:dyDescent="0.2">
      <c r="A100" s="4" t="s">
        <v>29</v>
      </c>
      <c r="B100" s="4">
        <v>0</v>
      </c>
      <c r="C100" s="4">
        <v>13</v>
      </c>
      <c r="D100" s="5">
        <v>45046</v>
      </c>
      <c r="E100" s="4">
        <v>51120000</v>
      </c>
      <c r="F100" s="4" t="s">
        <v>47</v>
      </c>
      <c r="G100" s="6">
        <v>108</v>
      </c>
      <c r="H100" s="6"/>
      <c r="I100" s="6">
        <v>0</v>
      </c>
    </row>
    <row r="101" spans="1:10" x14ac:dyDescent="0.2">
      <c r="A101" s="4" t="s">
        <v>29</v>
      </c>
      <c r="B101" s="4">
        <v>0</v>
      </c>
      <c r="C101" s="4">
        <v>14</v>
      </c>
      <c r="D101" s="5">
        <v>45046</v>
      </c>
      <c r="E101" s="4">
        <v>53100000</v>
      </c>
      <c r="F101" s="4" t="s">
        <v>47</v>
      </c>
      <c r="G101" s="6">
        <v>0</v>
      </c>
      <c r="H101" s="6"/>
      <c r="I101" s="6">
        <v>1493</v>
      </c>
    </row>
    <row r="102" spans="1:10" x14ac:dyDescent="0.2">
      <c r="A102" s="4"/>
      <c r="B102" s="4"/>
      <c r="C102" s="4"/>
      <c r="D102" s="4"/>
      <c r="E102" s="4"/>
      <c r="F102" s="4"/>
      <c r="G102" s="6">
        <v>0</v>
      </c>
      <c r="H102" s="6"/>
      <c r="I102" s="6">
        <v>0</v>
      </c>
    </row>
    <row r="103" spans="1:10" x14ac:dyDescent="0.2">
      <c r="A103" s="4" t="s">
        <v>29</v>
      </c>
      <c r="B103" s="4">
        <v>0</v>
      </c>
      <c r="C103" s="4">
        <v>15</v>
      </c>
      <c r="D103" s="5">
        <v>45046</v>
      </c>
      <c r="E103" s="4">
        <v>70100000</v>
      </c>
      <c r="F103" s="4" t="s">
        <v>49</v>
      </c>
      <c r="G103" s="6">
        <v>0</v>
      </c>
      <c r="H103" s="6"/>
      <c r="I103" s="6">
        <v>13462</v>
      </c>
      <c r="J103" s="7">
        <v>0.1</v>
      </c>
    </row>
    <row r="104" spans="1:10" x14ac:dyDescent="0.2">
      <c r="A104" s="4" t="s">
        <v>29</v>
      </c>
      <c r="B104" s="4">
        <v>0</v>
      </c>
      <c r="C104" s="4">
        <v>16</v>
      </c>
      <c r="D104" s="5">
        <v>45046</v>
      </c>
      <c r="E104" s="4">
        <v>44571160</v>
      </c>
      <c r="F104" s="4" t="s">
        <v>49</v>
      </c>
      <c r="G104" s="6">
        <v>0</v>
      </c>
      <c r="H104" s="6"/>
      <c r="I104" s="6">
        <v>1347</v>
      </c>
      <c r="J104" s="7">
        <v>0.1</v>
      </c>
    </row>
    <row r="105" spans="1:10" x14ac:dyDescent="0.2">
      <c r="A105" s="4" t="s">
        <v>29</v>
      </c>
      <c r="B105" s="4">
        <v>0</v>
      </c>
      <c r="C105" s="4">
        <v>17</v>
      </c>
      <c r="D105" s="5">
        <v>45046</v>
      </c>
      <c r="E105" s="4">
        <v>70101000</v>
      </c>
      <c r="F105" s="4" t="s">
        <v>49</v>
      </c>
      <c r="G105" s="6">
        <v>0</v>
      </c>
      <c r="H105" s="6"/>
      <c r="I105" s="6">
        <v>1142</v>
      </c>
      <c r="J105" s="7">
        <v>0.2</v>
      </c>
    </row>
    <row r="106" spans="1:10" x14ac:dyDescent="0.2">
      <c r="A106" s="4" t="s">
        <v>29</v>
      </c>
      <c r="B106" s="4">
        <v>0</v>
      </c>
      <c r="C106" s="4">
        <v>18</v>
      </c>
      <c r="D106" s="5">
        <v>45046</v>
      </c>
      <c r="E106" s="4">
        <v>44571100</v>
      </c>
      <c r="F106" s="4" t="s">
        <v>49</v>
      </c>
      <c r="G106" s="6">
        <v>0</v>
      </c>
      <c r="H106" s="6"/>
      <c r="I106" s="6">
        <v>228</v>
      </c>
      <c r="J106" s="7">
        <v>0.2</v>
      </c>
    </row>
    <row r="107" spans="1:10" x14ac:dyDescent="0.2">
      <c r="A107" s="4" t="s">
        <v>29</v>
      </c>
      <c r="B107" s="4">
        <v>0</v>
      </c>
      <c r="C107" s="4">
        <v>19</v>
      </c>
      <c r="D107" s="5">
        <v>45046</v>
      </c>
      <c r="E107" s="4">
        <v>51150000</v>
      </c>
      <c r="F107" s="4" t="s">
        <v>49</v>
      </c>
      <c r="G107" s="6">
        <v>13666</v>
      </c>
      <c r="H107" s="6"/>
      <c r="I107" s="6">
        <v>0</v>
      </c>
    </row>
    <row r="108" spans="1:10" x14ac:dyDescent="0.2">
      <c r="A108" s="4" t="s">
        <v>29</v>
      </c>
      <c r="B108" s="4">
        <v>0</v>
      </c>
      <c r="C108" s="4">
        <v>20</v>
      </c>
      <c r="D108" s="5">
        <v>45046</v>
      </c>
      <c r="E108" s="4">
        <v>53100000</v>
      </c>
      <c r="F108" s="4" t="s">
        <v>49</v>
      </c>
      <c r="G108" s="6">
        <v>1950</v>
      </c>
      <c r="H108" s="6"/>
      <c r="I108" s="6">
        <v>0</v>
      </c>
    </row>
    <row r="109" spans="1:10" x14ac:dyDescent="0.2">
      <c r="A109" s="4" t="s">
        <v>29</v>
      </c>
      <c r="B109" s="4">
        <v>0</v>
      </c>
      <c r="C109" s="4">
        <v>21</v>
      </c>
      <c r="D109" s="5">
        <v>45046</v>
      </c>
      <c r="E109" s="4">
        <v>51170000</v>
      </c>
      <c r="F109" s="4" t="s">
        <v>49</v>
      </c>
      <c r="G109" s="6">
        <v>680</v>
      </c>
      <c r="H109" s="6"/>
      <c r="I109" s="6">
        <v>0</v>
      </c>
    </row>
    <row r="110" spans="1:10" x14ac:dyDescent="0.2">
      <c r="A110" s="4" t="s">
        <v>29</v>
      </c>
      <c r="B110" s="4">
        <v>0</v>
      </c>
      <c r="C110" s="4">
        <v>22</v>
      </c>
      <c r="D110" s="5">
        <v>45046</v>
      </c>
      <c r="E110" s="4">
        <v>53100000</v>
      </c>
      <c r="F110" s="4" t="s">
        <v>49</v>
      </c>
      <c r="G110" s="6">
        <v>0</v>
      </c>
      <c r="H110" s="6"/>
      <c r="I110" s="6">
        <v>116</v>
      </c>
    </row>
    <row r="111" spans="1:10" x14ac:dyDescent="0.2">
      <c r="A111" s="4"/>
      <c r="B111" s="4"/>
      <c r="C111" s="4"/>
      <c r="D111" s="4"/>
      <c r="E111" s="4"/>
      <c r="F111" s="4"/>
      <c r="G111" s="6">
        <v>0</v>
      </c>
      <c r="H111" s="6"/>
      <c r="I111" s="6">
        <v>0</v>
      </c>
    </row>
    <row r="112" spans="1:10" x14ac:dyDescent="0.2">
      <c r="A112" s="4" t="s">
        <v>29</v>
      </c>
      <c r="B112" s="4"/>
      <c r="C112" s="4"/>
      <c r="D112" s="4"/>
      <c r="E112" s="4"/>
      <c r="F112" s="4" t="s">
        <v>33</v>
      </c>
      <c r="G112" s="6">
        <v>539</v>
      </c>
      <c r="H112" s="6"/>
      <c r="I112" s="6">
        <v>0</v>
      </c>
    </row>
    <row r="113" spans="1:10" x14ac:dyDescent="0.2">
      <c r="A113" s="4" t="s">
        <v>29</v>
      </c>
      <c r="B113" s="4"/>
      <c r="C113" s="4"/>
      <c r="D113" s="4"/>
      <c r="E113" s="4"/>
      <c r="F113" s="4" t="s">
        <v>34</v>
      </c>
      <c r="G113" s="6">
        <v>142322</v>
      </c>
      <c r="H113" s="6"/>
      <c r="I113" s="6">
        <v>142861</v>
      </c>
    </row>
    <row r="114" spans="1:10" x14ac:dyDescent="0.2">
      <c r="A114" s="4" t="s">
        <v>29</v>
      </c>
      <c r="B114" s="4"/>
      <c r="C114" s="4"/>
      <c r="D114" s="4"/>
      <c r="E114" s="4"/>
      <c r="F114" s="4" t="s">
        <v>50</v>
      </c>
      <c r="G114" s="6">
        <v>142861</v>
      </c>
      <c r="H114" s="6"/>
      <c r="I114" s="6">
        <v>142861</v>
      </c>
    </row>
    <row r="115" spans="1:10" x14ac:dyDescent="0.2">
      <c r="A115" s="4" t="s">
        <v>29</v>
      </c>
      <c r="B115" s="4"/>
      <c r="C115" s="4"/>
      <c r="D115" s="4"/>
      <c r="E115" s="4"/>
      <c r="F115" s="4" t="s">
        <v>51</v>
      </c>
      <c r="G115" s="6">
        <v>0</v>
      </c>
      <c r="H115" s="6"/>
      <c r="I115" s="6">
        <v>0</v>
      </c>
    </row>
    <row r="116" spans="1:10" x14ac:dyDescent="0.2">
      <c r="A116" s="4" t="s">
        <v>29</v>
      </c>
      <c r="B116" s="4">
        <v>0</v>
      </c>
      <c r="C116" s="4">
        <v>1</v>
      </c>
      <c r="D116" s="5">
        <v>45077</v>
      </c>
      <c r="E116" s="4">
        <v>79140000</v>
      </c>
      <c r="F116" s="4" t="s">
        <v>52</v>
      </c>
      <c r="G116" s="6">
        <v>0</v>
      </c>
      <c r="H116" s="6"/>
      <c r="I116" s="6">
        <v>207</v>
      </c>
    </row>
    <row r="117" spans="1:10" x14ac:dyDescent="0.2">
      <c r="A117" s="4" t="s">
        <v>29</v>
      </c>
      <c r="B117" s="4">
        <v>0</v>
      </c>
      <c r="C117" s="4">
        <v>2</v>
      </c>
      <c r="D117" s="5">
        <v>45077</v>
      </c>
      <c r="E117" s="4">
        <v>70100001</v>
      </c>
      <c r="F117" s="4" t="s">
        <v>52</v>
      </c>
      <c r="G117" s="6">
        <v>0</v>
      </c>
      <c r="H117" s="6"/>
      <c r="I117" s="6">
        <v>92222</v>
      </c>
      <c r="J117" s="7">
        <v>0.1</v>
      </c>
    </row>
    <row r="118" spans="1:10" x14ac:dyDescent="0.2">
      <c r="A118" s="4" t="s">
        <v>29</v>
      </c>
      <c r="B118" s="4">
        <v>0</v>
      </c>
      <c r="C118" s="4">
        <v>3</v>
      </c>
      <c r="D118" s="5">
        <v>45077</v>
      </c>
      <c r="E118" s="4">
        <v>44571160</v>
      </c>
      <c r="F118" s="4" t="s">
        <v>52</v>
      </c>
      <c r="G118" s="6">
        <v>0</v>
      </c>
      <c r="H118" s="6"/>
      <c r="I118" s="6">
        <v>9230</v>
      </c>
      <c r="J118" s="7">
        <v>0.1</v>
      </c>
    </row>
    <row r="119" spans="1:10" x14ac:dyDescent="0.2">
      <c r="A119" s="4" t="s">
        <v>29</v>
      </c>
      <c r="B119" s="4">
        <v>0</v>
      </c>
      <c r="C119" s="4">
        <v>4</v>
      </c>
      <c r="D119" s="5">
        <v>45077</v>
      </c>
      <c r="E119" s="4">
        <v>70110000</v>
      </c>
      <c r="F119" s="4" t="s">
        <v>52</v>
      </c>
      <c r="G119" s="6">
        <v>0</v>
      </c>
      <c r="H119" s="6"/>
      <c r="I119" s="6">
        <v>21636</v>
      </c>
      <c r="J119" s="7">
        <v>0.2</v>
      </c>
    </row>
    <row r="120" spans="1:10" x14ac:dyDescent="0.2">
      <c r="A120" s="4" t="s">
        <v>29</v>
      </c>
      <c r="B120" s="4">
        <v>0</v>
      </c>
      <c r="C120" s="4">
        <v>5</v>
      </c>
      <c r="D120" s="5">
        <v>45077</v>
      </c>
      <c r="E120" s="4">
        <v>44571100</v>
      </c>
      <c r="F120" s="4" t="s">
        <v>52</v>
      </c>
      <c r="G120" s="6">
        <v>0</v>
      </c>
      <c r="H120" s="6"/>
      <c r="I120" s="6">
        <v>4326</v>
      </c>
      <c r="J120" s="7">
        <v>0.2</v>
      </c>
    </row>
    <row r="121" spans="1:10" x14ac:dyDescent="0.2">
      <c r="A121" s="4" t="s">
        <v>29</v>
      </c>
      <c r="B121" s="4">
        <v>0</v>
      </c>
      <c r="C121" s="4">
        <v>6</v>
      </c>
      <c r="D121" s="5">
        <v>45077</v>
      </c>
      <c r="E121" s="4">
        <v>70140000</v>
      </c>
      <c r="F121" s="4" t="s">
        <v>52</v>
      </c>
      <c r="G121" s="6">
        <v>0</v>
      </c>
      <c r="H121" s="6"/>
      <c r="I121" s="6">
        <v>645</v>
      </c>
    </row>
    <row r="122" spans="1:10" x14ac:dyDescent="0.2">
      <c r="A122" s="4" t="s">
        <v>29</v>
      </c>
      <c r="B122" s="4">
        <v>0</v>
      </c>
      <c r="C122" s="4">
        <v>7</v>
      </c>
      <c r="D122" s="5">
        <v>45077</v>
      </c>
      <c r="E122" s="4">
        <v>44571110</v>
      </c>
      <c r="F122" s="4" t="s">
        <v>52</v>
      </c>
      <c r="G122" s="6">
        <v>0</v>
      </c>
      <c r="H122" s="6"/>
      <c r="I122" s="6">
        <v>35</v>
      </c>
    </row>
    <row r="123" spans="1:10" x14ac:dyDescent="0.2">
      <c r="A123" s="4" t="s">
        <v>29</v>
      </c>
      <c r="B123" s="4">
        <v>0</v>
      </c>
      <c r="C123" s="4">
        <v>8</v>
      </c>
      <c r="D123" s="5">
        <v>45077</v>
      </c>
      <c r="E123" s="4" t="s">
        <v>48</v>
      </c>
      <c r="F123" s="4" t="s">
        <v>52</v>
      </c>
      <c r="G123" s="6">
        <v>3377</v>
      </c>
      <c r="H123" s="6"/>
      <c r="I123" s="6">
        <v>0</v>
      </c>
    </row>
    <row r="124" spans="1:10" x14ac:dyDescent="0.2">
      <c r="A124" s="4" t="s">
        <v>29</v>
      </c>
      <c r="B124" s="4">
        <v>0</v>
      </c>
      <c r="C124" s="4">
        <v>9</v>
      </c>
      <c r="D124" s="5">
        <v>45077</v>
      </c>
      <c r="E124" s="4">
        <v>51150000</v>
      </c>
      <c r="F124" s="4" t="s">
        <v>52</v>
      </c>
      <c r="G124" s="6">
        <v>104731</v>
      </c>
      <c r="H124" s="6"/>
      <c r="I124" s="6">
        <v>0</v>
      </c>
    </row>
    <row r="125" spans="1:10" x14ac:dyDescent="0.2">
      <c r="A125" s="4" t="s">
        <v>29</v>
      </c>
      <c r="B125" s="4">
        <v>0</v>
      </c>
      <c r="C125" s="4">
        <v>10</v>
      </c>
      <c r="D125" s="5">
        <v>45077</v>
      </c>
      <c r="E125" s="4">
        <v>51120000</v>
      </c>
      <c r="F125" s="4" t="s">
        <v>52</v>
      </c>
      <c r="G125" s="6">
        <v>500</v>
      </c>
      <c r="H125" s="6"/>
      <c r="I125" s="6">
        <v>0</v>
      </c>
    </row>
    <row r="126" spans="1:10" x14ac:dyDescent="0.2">
      <c r="A126" s="4" t="s">
        <v>29</v>
      </c>
      <c r="B126" s="4">
        <v>0</v>
      </c>
      <c r="C126" s="4">
        <v>11</v>
      </c>
      <c r="D126" s="5">
        <v>45077</v>
      </c>
      <c r="E126" s="4">
        <v>53100000</v>
      </c>
      <c r="F126" s="4" t="s">
        <v>52</v>
      </c>
      <c r="G126" s="6">
        <v>20462</v>
      </c>
      <c r="H126" s="6"/>
      <c r="I126" s="6">
        <v>0</v>
      </c>
    </row>
    <row r="127" spans="1:10" x14ac:dyDescent="0.2">
      <c r="A127" s="4" t="s">
        <v>29</v>
      </c>
      <c r="B127" s="4">
        <v>0</v>
      </c>
      <c r="C127" s="4">
        <v>12</v>
      </c>
      <c r="D127" s="5">
        <v>45077</v>
      </c>
      <c r="E127" s="4">
        <v>51170000</v>
      </c>
      <c r="F127" s="4" t="s">
        <v>52</v>
      </c>
      <c r="G127" s="6">
        <v>18</v>
      </c>
      <c r="H127" s="6"/>
      <c r="I127" s="6">
        <v>0</v>
      </c>
    </row>
    <row r="128" spans="1:10" x14ac:dyDescent="0.2">
      <c r="A128" s="4" t="s">
        <v>29</v>
      </c>
      <c r="B128" s="4">
        <v>0</v>
      </c>
      <c r="C128" s="4">
        <v>13</v>
      </c>
      <c r="D128" s="5">
        <v>45077</v>
      </c>
      <c r="E128" s="4" t="s">
        <v>48</v>
      </c>
      <c r="F128" s="4" t="s">
        <v>52</v>
      </c>
      <c r="G128" s="6">
        <v>569</v>
      </c>
      <c r="H128" s="6"/>
      <c r="I128" s="6">
        <v>0</v>
      </c>
    </row>
    <row r="129" spans="1:10" x14ac:dyDescent="0.2">
      <c r="A129" s="4" t="s">
        <v>29</v>
      </c>
      <c r="B129" s="4">
        <v>0</v>
      </c>
      <c r="C129" s="4">
        <v>14</v>
      </c>
      <c r="D129" s="5">
        <v>45077</v>
      </c>
      <c r="E129" s="4">
        <v>53100000</v>
      </c>
      <c r="F129" s="4" t="s">
        <v>52</v>
      </c>
      <c r="G129" s="6">
        <v>0</v>
      </c>
      <c r="H129" s="6"/>
      <c r="I129" s="6">
        <v>1356</v>
      </c>
    </row>
    <row r="130" spans="1:10" x14ac:dyDescent="0.2">
      <c r="A130" s="4"/>
      <c r="B130" s="4"/>
      <c r="C130" s="4"/>
      <c r="D130" s="4"/>
      <c r="E130" s="4"/>
      <c r="F130" s="4"/>
      <c r="G130" s="6">
        <v>0</v>
      </c>
      <c r="H130" s="6"/>
      <c r="I130" s="6">
        <v>0</v>
      </c>
    </row>
    <row r="131" spans="1:10" x14ac:dyDescent="0.2">
      <c r="A131" s="4" t="s">
        <v>29</v>
      </c>
      <c r="B131" s="4">
        <v>0</v>
      </c>
      <c r="C131" s="4">
        <v>15</v>
      </c>
      <c r="D131" s="5">
        <v>45077</v>
      </c>
      <c r="E131" s="4">
        <v>70100000</v>
      </c>
      <c r="F131" s="4" t="s">
        <v>49</v>
      </c>
      <c r="G131" s="6">
        <v>0</v>
      </c>
      <c r="H131" s="6"/>
      <c r="I131" s="6">
        <v>16620</v>
      </c>
      <c r="J131" s="7">
        <v>0.1</v>
      </c>
    </row>
    <row r="132" spans="1:10" x14ac:dyDescent="0.2">
      <c r="A132" s="4" t="s">
        <v>29</v>
      </c>
      <c r="B132" s="4">
        <v>0</v>
      </c>
      <c r="C132" s="4">
        <v>16</v>
      </c>
      <c r="D132" s="5">
        <v>45077</v>
      </c>
      <c r="E132" s="4">
        <v>44571160</v>
      </c>
      <c r="F132" s="4" t="s">
        <v>49</v>
      </c>
      <c r="G132" s="6">
        <v>0</v>
      </c>
      <c r="H132" s="6"/>
      <c r="I132" s="6">
        <v>1662</v>
      </c>
      <c r="J132" s="7">
        <v>0.1</v>
      </c>
    </row>
    <row r="133" spans="1:10" x14ac:dyDescent="0.2">
      <c r="A133" s="4" t="s">
        <v>29</v>
      </c>
      <c r="B133" s="4">
        <v>0</v>
      </c>
      <c r="C133" s="4">
        <v>17</v>
      </c>
      <c r="D133" s="5">
        <v>45077</v>
      </c>
      <c r="E133" s="4">
        <v>70101000</v>
      </c>
      <c r="F133" s="4" t="s">
        <v>49</v>
      </c>
      <c r="G133" s="6">
        <v>0</v>
      </c>
      <c r="H133" s="6"/>
      <c r="I133" s="6">
        <v>1987</v>
      </c>
      <c r="J133" s="7">
        <v>0.2</v>
      </c>
    </row>
    <row r="134" spans="1:10" x14ac:dyDescent="0.2">
      <c r="A134" s="4" t="s">
        <v>29</v>
      </c>
      <c r="B134" s="4">
        <v>0</v>
      </c>
      <c r="C134" s="4">
        <v>18</v>
      </c>
      <c r="D134" s="5">
        <v>45077</v>
      </c>
      <c r="E134" s="4">
        <v>44571100</v>
      </c>
      <c r="F134" s="4" t="s">
        <v>49</v>
      </c>
      <c r="G134" s="6">
        <v>0</v>
      </c>
      <c r="H134" s="6"/>
      <c r="I134" s="6">
        <v>397</v>
      </c>
      <c r="J134" s="7">
        <v>0.2</v>
      </c>
    </row>
    <row r="135" spans="1:10" x14ac:dyDescent="0.2">
      <c r="A135" s="4" t="s">
        <v>29</v>
      </c>
      <c r="B135" s="4">
        <v>0</v>
      </c>
      <c r="C135" s="4">
        <v>19</v>
      </c>
      <c r="D135" s="5">
        <v>45077</v>
      </c>
      <c r="E135" s="4">
        <v>51150000</v>
      </c>
      <c r="F135" s="4" t="s">
        <v>49</v>
      </c>
      <c r="G135" s="6">
        <v>18672</v>
      </c>
      <c r="H135" s="6"/>
      <c r="I135" s="6">
        <v>0</v>
      </c>
    </row>
    <row r="136" spans="1:10" x14ac:dyDescent="0.2">
      <c r="A136" s="4" t="s">
        <v>29</v>
      </c>
      <c r="B136" s="4">
        <v>0</v>
      </c>
      <c r="C136" s="4">
        <v>20</v>
      </c>
      <c r="D136" s="5">
        <v>45077</v>
      </c>
      <c r="E136" s="4">
        <v>51170000</v>
      </c>
      <c r="F136" s="4" t="s">
        <v>49</v>
      </c>
      <c r="G136" s="6">
        <v>128</v>
      </c>
      <c r="H136" s="6"/>
      <c r="I136" s="6">
        <v>0</v>
      </c>
    </row>
    <row r="137" spans="1:10" x14ac:dyDescent="0.2">
      <c r="A137" s="4" t="s">
        <v>29</v>
      </c>
      <c r="B137" s="4">
        <v>0</v>
      </c>
      <c r="C137" s="4">
        <v>21</v>
      </c>
      <c r="D137" s="5">
        <v>45077</v>
      </c>
      <c r="E137" s="4" t="s">
        <v>48</v>
      </c>
      <c r="F137" s="4" t="s">
        <v>49</v>
      </c>
      <c r="G137" s="6">
        <v>198</v>
      </c>
      <c r="H137" s="6"/>
      <c r="I137" s="6">
        <v>0</v>
      </c>
    </row>
    <row r="138" spans="1:10" x14ac:dyDescent="0.2">
      <c r="A138" s="4" t="s">
        <v>29</v>
      </c>
      <c r="B138" s="4">
        <v>0</v>
      </c>
      <c r="C138" s="4">
        <v>22</v>
      </c>
      <c r="D138" s="5">
        <v>45077</v>
      </c>
      <c r="E138" s="4">
        <v>53100000</v>
      </c>
      <c r="F138" s="4" t="s">
        <v>49</v>
      </c>
      <c r="G138" s="6">
        <v>1802</v>
      </c>
      <c r="H138" s="6"/>
      <c r="I138" s="6">
        <v>0</v>
      </c>
    </row>
    <row r="139" spans="1:10" x14ac:dyDescent="0.2">
      <c r="A139" s="4" t="s">
        <v>29</v>
      </c>
      <c r="B139" s="4">
        <v>0</v>
      </c>
      <c r="C139" s="4">
        <v>23</v>
      </c>
      <c r="D139" s="5">
        <v>45077</v>
      </c>
      <c r="E139" s="4">
        <v>53100000</v>
      </c>
      <c r="F139" s="4" t="s">
        <v>49</v>
      </c>
      <c r="G139" s="6">
        <v>0</v>
      </c>
      <c r="H139" s="6"/>
      <c r="I139" s="6">
        <v>132</v>
      </c>
    </row>
    <row r="140" spans="1:10" x14ac:dyDescent="0.2">
      <c r="A140" s="4" t="s">
        <v>29</v>
      </c>
      <c r="B140" s="4"/>
      <c r="C140" s="4"/>
      <c r="D140" s="4"/>
      <c r="E140" s="4"/>
      <c r="F140" s="4" t="s">
        <v>33</v>
      </c>
      <c r="G140" s="6">
        <v>4145</v>
      </c>
      <c r="H140" s="6"/>
      <c r="I140" s="6">
        <v>0</v>
      </c>
    </row>
    <row r="141" spans="1:10" x14ac:dyDescent="0.2">
      <c r="A141" s="4" t="s">
        <v>29</v>
      </c>
      <c r="B141" s="4"/>
      <c r="C141" s="4"/>
      <c r="D141" s="4"/>
      <c r="E141" s="4"/>
      <c r="F141" s="4" t="s">
        <v>34</v>
      </c>
      <c r="G141" s="6">
        <v>146313</v>
      </c>
      <c r="H141" s="6"/>
      <c r="I141" s="6">
        <v>150456</v>
      </c>
    </row>
    <row r="142" spans="1:10" x14ac:dyDescent="0.2">
      <c r="A142" s="4" t="s">
        <v>29</v>
      </c>
      <c r="B142" s="4"/>
      <c r="C142" s="4"/>
      <c r="D142" s="4"/>
      <c r="E142" s="4"/>
      <c r="F142" s="4" t="s">
        <v>53</v>
      </c>
      <c r="G142" s="6">
        <v>150458</v>
      </c>
      <c r="H142" s="6"/>
      <c r="I142" s="6">
        <v>150456</v>
      </c>
    </row>
    <row r="143" spans="1:10" x14ac:dyDescent="0.2">
      <c r="A143" s="4" t="s">
        <v>29</v>
      </c>
      <c r="B143" s="4"/>
      <c r="C143" s="4"/>
      <c r="D143" s="4"/>
      <c r="E143" s="4"/>
      <c r="F143" s="4" t="s">
        <v>54</v>
      </c>
      <c r="G143" s="6">
        <v>609250</v>
      </c>
      <c r="H143" s="6"/>
      <c r="I143" s="6">
        <v>609248</v>
      </c>
    </row>
  </sheetData>
  <autoFilter ref="A1:I143" xr:uid="{6AE74A28-7040-5E4A-8B5D-FC769ACB756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4053-5471-468F-B747-0F68CA1ADFF9}">
  <dimension ref="A1:N20"/>
  <sheetViews>
    <sheetView tabSelected="1" zoomScale="130" zoomScaleNormal="130" workbookViewId="0">
      <selection activeCell="F18" sqref="F18"/>
    </sheetView>
  </sheetViews>
  <sheetFormatPr defaultColWidth="11.43359375" defaultRowHeight="15" x14ac:dyDescent="0.2"/>
  <cols>
    <col min="2" max="2" width="15.73828125" customWidth="1"/>
    <col min="7" max="7" width="17.75390625" customWidth="1"/>
  </cols>
  <sheetData>
    <row r="1" spans="1:14" ht="68.25" x14ac:dyDescent="0.2">
      <c r="A1" t="s">
        <v>55</v>
      </c>
      <c r="B1" s="1" t="s">
        <v>56</v>
      </c>
      <c r="C1" s="1" t="s">
        <v>57</v>
      </c>
      <c r="D1" s="1" t="s">
        <v>94</v>
      </c>
      <c r="E1" s="1" t="s">
        <v>95</v>
      </c>
      <c r="F1" s="1" t="s">
        <v>58</v>
      </c>
      <c r="G1" s="1" t="s">
        <v>59</v>
      </c>
      <c r="H1" s="1" t="s">
        <v>96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</row>
    <row r="2" spans="1:14" x14ac:dyDescent="0.2">
      <c r="B2" t="s">
        <v>66</v>
      </c>
      <c r="C2" s="8" t="s">
        <v>67</v>
      </c>
      <c r="D2" s="8"/>
      <c r="E2" s="8"/>
      <c r="F2" s="8" t="s">
        <v>68</v>
      </c>
      <c r="G2" t="s">
        <v>69</v>
      </c>
      <c r="I2">
        <v>16</v>
      </c>
      <c r="J2">
        <v>19</v>
      </c>
      <c r="K2">
        <v>20</v>
      </c>
      <c r="L2">
        <v>22</v>
      </c>
      <c r="M2">
        <v>25</v>
      </c>
      <c r="N2" t="s">
        <v>70</v>
      </c>
    </row>
    <row r="3" spans="1:14" x14ac:dyDescent="0.2">
      <c r="A3" t="s">
        <v>82</v>
      </c>
      <c r="B3">
        <v>73379.210000000006</v>
      </c>
      <c r="C3">
        <v>15031</v>
      </c>
      <c r="D3">
        <v>6243.74</v>
      </c>
      <c r="E3">
        <f>SUM(B3:D3)</f>
        <v>94653.950000000012</v>
      </c>
      <c r="F3">
        <f>D3*0.055</f>
        <v>343.40569999999997</v>
      </c>
      <c r="G3">
        <f>+B3*0.1</f>
        <v>7337.9210000000012</v>
      </c>
      <c r="H3">
        <f>C3*0.2</f>
        <v>3006.2000000000003</v>
      </c>
      <c r="I3">
        <f>SUM(F3:H3)</f>
        <v>10687.526700000002</v>
      </c>
      <c r="K3">
        <f>64425.56-2.76+4431.05</f>
        <v>68853.849999999991</v>
      </c>
      <c r="L3" s="12"/>
      <c r="M3" s="12">
        <f>K3-I3</f>
        <v>58166.323299999989</v>
      </c>
    </row>
    <row r="4" spans="1:14" x14ac:dyDescent="0.2">
      <c r="A4" t="s">
        <v>83</v>
      </c>
      <c r="B4">
        <v>84010.61</v>
      </c>
      <c r="C4">
        <v>17604.400000000001</v>
      </c>
      <c r="D4">
        <v>7207.78</v>
      </c>
      <c r="E4">
        <f t="shared" ref="E4:E15" si="0">SUM(B4:D4)</f>
        <v>108822.79000000001</v>
      </c>
      <c r="F4">
        <f t="shared" ref="F4:F14" si="1">D4*0.055</f>
        <v>396.42789999999997</v>
      </c>
      <c r="G4">
        <f t="shared" ref="G4:G14" si="2">+B4*0.1</f>
        <v>8401.0609999999997</v>
      </c>
      <c r="H4">
        <f t="shared" ref="H4:H14" si="3">C4*0.2</f>
        <v>3520.8800000000006</v>
      </c>
      <c r="I4">
        <f t="shared" ref="I4:I14" si="4">SUM(F4:H4)</f>
        <v>12318.368900000001</v>
      </c>
      <c r="K4">
        <f>6332.22+9.56</f>
        <v>6341.7800000000007</v>
      </c>
      <c r="L4" s="12">
        <f>+M3</f>
        <v>58166.323299999989</v>
      </c>
      <c r="M4" s="12">
        <f>+L4+K4-I4</f>
        <v>52189.734399999987</v>
      </c>
    </row>
    <row r="5" spans="1:14" x14ac:dyDescent="0.2">
      <c r="A5" t="s">
        <v>84</v>
      </c>
      <c r="B5">
        <v>110950</v>
      </c>
      <c r="C5">
        <v>23821.67</v>
      </c>
      <c r="D5">
        <v>3926.13</v>
      </c>
      <c r="E5">
        <f t="shared" si="0"/>
        <v>138697.79999999999</v>
      </c>
      <c r="F5">
        <f t="shared" si="1"/>
        <v>215.93715</v>
      </c>
      <c r="G5">
        <f t="shared" si="2"/>
        <v>11095</v>
      </c>
      <c r="H5">
        <f t="shared" si="3"/>
        <v>4764.3339999999998</v>
      </c>
      <c r="I5">
        <f t="shared" si="4"/>
        <v>16075.27115</v>
      </c>
      <c r="K5">
        <v>7615</v>
      </c>
      <c r="L5" s="12">
        <f t="shared" ref="L5:L11" si="5">+M4</f>
        <v>52189.734399999987</v>
      </c>
      <c r="M5" s="12">
        <f t="shared" ref="M5:M13" si="6">+L5+K5-I5</f>
        <v>43729.463249999986</v>
      </c>
    </row>
    <row r="6" spans="1:14" x14ac:dyDescent="0.2">
      <c r="A6" t="s">
        <v>85</v>
      </c>
      <c r="B6">
        <f>105772+10960.34</f>
        <v>116732.34</v>
      </c>
      <c r="C6">
        <f>2616.84+21532.15</f>
        <v>24148.99</v>
      </c>
      <c r="D6">
        <v>2180.52</v>
      </c>
      <c r="E6">
        <f t="shared" si="0"/>
        <v>143061.84999999998</v>
      </c>
      <c r="F6">
        <f t="shared" si="1"/>
        <v>119.9286</v>
      </c>
      <c r="G6">
        <f t="shared" si="2"/>
        <v>11673.234</v>
      </c>
      <c r="H6">
        <f t="shared" si="3"/>
        <v>4829.7980000000007</v>
      </c>
      <c r="I6">
        <f t="shared" si="4"/>
        <v>16622.960599999999</v>
      </c>
      <c r="K6">
        <f>9351.55-125.81</f>
        <v>9225.74</v>
      </c>
      <c r="L6" s="12">
        <f t="shared" si="5"/>
        <v>43729.463249999986</v>
      </c>
      <c r="M6" s="12">
        <f t="shared" si="6"/>
        <v>36332.242649999986</v>
      </c>
    </row>
    <row r="7" spans="1:14" x14ac:dyDescent="0.2">
      <c r="A7" t="s">
        <v>86</v>
      </c>
      <c r="B7">
        <f>114167.6+15504.87</f>
        <v>129672.47</v>
      </c>
      <c r="C7">
        <f>3970.12+24930.8</f>
        <v>28900.92</v>
      </c>
      <c r="D7">
        <v>1115.47</v>
      </c>
      <c r="E7">
        <f t="shared" si="0"/>
        <v>159688.86000000002</v>
      </c>
      <c r="F7">
        <f t="shared" si="1"/>
        <v>61.350850000000001</v>
      </c>
      <c r="G7">
        <f t="shared" si="2"/>
        <v>12967.247000000001</v>
      </c>
      <c r="H7">
        <f t="shared" si="3"/>
        <v>5780.1840000000002</v>
      </c>
      <c r="I7">
        <f t="shared" si="4"/>
        <v>18808.781850000003</v>
      </c>
      <c r="K7">
        <f>7376.46-144.07</f>
        <v>7232.39</v>
      </c>
      <c r="L7" s="12">
        <f t="shared" si="5"/>
        <v>36332.242649999986</v>
      </c>
      <c r="M7" s="12">
        <f t="shared" si="6"/>
        <v>24755.850799999982</v>
      </c>
    </row>
    <row r="8" spans="1:14" x14ac:dyDescent="0.2">
      <c r="A8" t="s">
        <v>87</v>
      </c>
      <c r="B8">
        <f>13592.67+78226.22</f>
        <v>91818.89</v>
      </c>
      <c r="C8">
        <f>3124.13+17263.74</f>
        <v>20387.870000000003</v>
      </c>
      <c r="D8">
        <v>539.73</v>
      </c>
      <c r="E8">
        <f t="shared" si="0"/>
        <v>112746.49</v>
      </c>
      <c r="F8">
        <f t="shared" si="1"/>
        <v>29.68515</v>
      </c>
      <c r="G8">
        <f t="shared" si="2"/>
        <v>9181.889000000001</v>
      </c>
      <c r="H8">
        <f t="shared" si="3"/>
        <v>4077.5740000000005</v>
      </c>
      <c r="I8">
        <f t="shared" si="4"/>
        <v>13289.148150000001</v>
      </c>
      <c r="K8">
        <f>6940.65-10.38</f>
        <v>6930.2699999999995</v>
      </c>
      <c r="L8" s="12">
        <f t="shared" si="5"/>
        <v>24755.850799999982</v>
      </c>
      <c r="M8" s="12">
        <f t="shared" si="6"/>
        <v>18396.972649999982</v>
      </c>
    </row>
    <row r="9" spans="1:14" x14ac:dyDescent="0.2">
      <c r="A9" t="s">
        <v>88</v>
      </c>
      <c r="B9">
        <f>18831.77+89343.68</f>
        <v>108175.45</v>
      </c>
      <c r="C9">
        <f>3920.2+18717.67</f>
        <v>22637.87</v>
      </c>
      <c r="E9">
        <f t="shared" si="0"/>
        <v>130813.31999999999</v>
      </c>
      <c r="F9">
        <f t="shared" si="1"/>
        <v>0</v>
      </c>
      <c r="G9">
        <f t="shared" si="2"/>
        <v>10817.545</v>
      </c>
      <c r="H9">
        <f t="shared" si="3"/>
        <v>4527.5739999999996</v>
      </c>
      <c r="I9">
        <f t="shared" si="4"/>
        <v>15345.118999999999</v>
      </c>
      <c r="K9">
        <f>8288.83-61.24</f>
        <v>8227.59</v>
      </c>
      <c r="L9" s="12">
        <f t="shared" si="5"/>
        <v>18396.972649999982</v>
      </c>
      <c r="M9" s="12">
        <f t="shared" si="6"/>
        <v>11279.443649999983</v>
      </c>
    </row>
    <row r="10" spans="1:14" x14ac:dyDescent="0.2">
      <c r="A10" t="s">
        <v>89</v>
      </c>
      <c r="B10">
        <f>31922.35+114553.06</f>
        <v>146475.41</v>
      </c>
      <c r="C10">
        <f>5937.64+23484.1</f>
        <v>29421.739999999998</v>
      </c>
      <c r="E10">
        <f t="shared" si="0"/>
        <v>175897.15</v>
      </c>
      <c r="F10">
        <f t="shared" si="1"/>
        <v>0</v>
      </c>
      <c r="G10">
        <f t="shared" si="2"/>
        <v>14647.541000000001</v>
      </c>
      <c r="H10">
        <f t="shared" si="3"/>
        <v>5884.348</v>
      </c>
      <c r="I10">
        <f t="shared" si="4"/>
        <v>20531.889000000003</v>
      </c>
      <c r="K10">
        <v>7830.52</v>
      </c>
      <c r="L10" s="12">
        <f t="shared" si="5"/>
        <v>11279.443649999983</v>
      </c>
      <c r="M10" s="12"/>
      <c r="N10">
        <v>1422</v>
      </c>
    </row>
    <row r="11" spans="1:14" x14ac:dyDescent="0.2">
      <c r="A11" t="s">
        <v>90</v>
      </c>
      <c r="B11">
        <f>32074.24+92215.31</f>
        <v>124289.55</v>
      </c>
      <c r="C11">
        <f>6492.98+21462.94</f>
        <v>27955.919999999998</v>
      </c>
      <c r="E11">
        <f t="shared" si="0"/>
        <v>152245.47</v>
      </c>
      <c r="F11">
        <f t="shared" si="1"/>
        <v>0</v>
      </c>
      <c r="G11">
        <f t="shared" si="2"/>
        <v>12428.955000000002</v>
      </c>
      <c r="H11">
        <f t="shared" si="3"/>
        <v>5591.1840000000002</v>
      </c>
      <c r="I11">
        <f t="shared" si="4"/>
        <v>18020.139000000003</v>
      </c>
      <c r="K11">
        <v>8705.92</v>
      </c>
      <c r="L11" s="12"/>
      <c r="M11" s="12"/>
      <c r="N11">
        <f>+I11-K11</f>
        <v>9314.2190000000028</v>
      </c>
    </row>
    <row r="12" spans="1:14" x14ac:dyDescent="0.2">
      <c r="A12" t="s">
        <v>91</v>
      </c>
      <c r="B12">
        <f>33459.28+99104.19</f>
        <v>132563.47</v>
      </c>
      <c r="C12">
        <f>6470.88+21396.94</f>
        <v>27867.82</v>
      </c>
      <c r="E12">
        <f t="shared" si="0"/>
        <v>160431.29</v>
      </c>
      <c r="F12">
        <f t="shared" si="1"/>
        <v>0</v>
      </c>
      <c r="G12">
        <f t="shared" si="2"/>
        <v>13256.347000000002</v>
      </c>
      <c r="H12">
        <f t="shared" si="3"/>
        <v>5573.5640000000003</v>
      </c>
      <c r="I12">
        <f t="shared" si="4"/>
        <v>18829.911</v>
      </c>
      <c r="K12">
        <f>10164.63-7.43</f>
        <v>10157.199999999999</v>
      </c>
      <c r="L12" s="12"/>
      <c r="M12" s="12"/>
      <c r="N12">
        <f>+I12-K12</f>
        <v>8672.7110000000011</v>
      </c>
    </row>
    <row r="13" spans="1:14" x14ac:dyDescent="0.2">
      <c r="A13" t="s">
        <v>92</v>
      </c>
      <c r="B13">
        <f>35668.64+98064.78</f>
        <v>133733.41999999998</v>
      </c>
      <c r="C13">
        <f>6730.64+20993.62</f>
        <v>27724.26</v>
      </c>
      <c r="E13">
        <f t="shared" si="0"/>
        <v>161457.68</v>
      </c>
      <c r="F13">
        <f t="shared" si="1"/>
        <v>0</v>
      </c>
      <c r="G13">
        <f t="shared" si="2"/>
        <v>13373.341999999999</v>
      </c>
      <c r="H13">
        <f t="shared" si="3"/>
        <v>5544.8519999999999</v>
      </c>
      <c r="I13">
        <f t="shared" si="4"/>
        <v>18918.194</v>
      </c>
      <c r="K13">
        <v>7724.72</v>
      </c>
      <c r="L13" s="12"/>
      <c r="M13" s="12"/>
      <c r="N13">
        <f>+I13-K13-J13</f>
        <v>11193.473999999998</v>
      </c>
    </row>
    <row r="14" spans="1:14" x14ac:dyDescent="0.2">
      <c r="A14" t="s">
        <v>93</v>
      </c>
      <c r="B14">
        <f>57546.49+170072.98</f>
        <v>227619.47</v>
      </c>
      <c r="C14">
        <f>10592.79+30209.74</f>
        <v>40802.53</v>
      </c>
      <c r="E14">
        <f t="shared" si="0"/>
        <v>268422</v>
      </c>
      <c r="F14">
        <f t="shared" si="1"/>
        <v>0</v>
      </c>
      <c r="G14">
        <f t="shared" si="2"/>
        <v>22761.947</v>
      </c>
      <c r="H14">
        <f t="shared" si="3"/>
        <v>8160.5060000000003</v>
      </c>
      <c r="I14">
        <f t="shared" si="4"/>
        <v>30922.453000000001</v>
      </c>
      <c r="K14">
        <v>10199.469999999999</v>
      </c>
      <c r="L14" s="12"/>
      <c r="M14" s="12"/>
      <c r="N14">
        <f>+I14-K14-J14-L14</f>
        <v>20722.983</v>
      </c>
    </row>
    <row r="15" spans="1:14" x14ac:dyDescent="0.2">
      <c r="B15">
        <f>SUM(B3:B14)</f>
        <v>1479420.29</v>
      </c>
      <c r="C15">
        <f t="shared" ref="C15:I15" si="7">SUM(C3:C14)</f>
        <v>306304.99</v>
      </c>
      <c r="D15">
        <f t="shared" si="7"/>
        <v>21213.370000000003</v>
      </c>
      <c r="E15">
        <f t="shared" si="0"/>
        <v>1806938.6500000001</v>
      </c>
      <c r="F15">
        <f t="shared" si="7"/>
        <v>1166.7353499999999</v>
      </c>
      <c r="G15">
        <f t="shared" si="7"/>
        <v>147942.02900000004</v>
      </c>
      <c r="H15">
        <f t="shared" si="7"/>
        <v>61260.998</v>
      </c>
      <c r="I15">
        <f t="shared" si="7"/>
        <v>210369.76235</v>
      </c>
      <c r="J15">
        <f>SUM(J3:J14)</f>
        <v>0</v>
      </c>
      <c r="K15">
        <v>13965.26</v>
      </c>
      <c r="L15" s="12">
        <f>SUM(L3:L11)</f>
        <v>244850.03069999989</v>
      </c>
      <c r="M15" s="12">
        <f t="shared" ref="J15:N15" si="8">SUM(M3:M10)</f>
        <v>244850.03069999989</v>
      </c>
      <c r="N15">
        <f>+I15-K15-J15</f>
        <v>196404.50235</v>
      </c>
    </row>
    <row r="16" spans="1:14" x14ac:dyDescent="0.2">
      <c r="A16" t="s">
        <v>71</v>
      </c>
      <c r="B16" s="11">
        <f>+Collectée!E2+Collectée!E3</f>
        <v>1479421.5399999998</v>
      </c>
      <c r="C16" s="11">
        <f>Collectée!E4+Collectée!E5</f>
        <v>306304.99</v>
      </c>
      <c r="D16" s="11">
        <f>Collectée!E7</f>
        <v>21213.37</v>
      </c>
      <c r="E16" s="11"/>
      <c r="F16" s="11">
        <f>-Collectée!F7</f>
        <v>21213.37</v>
      </c>
      <c r="G16" s="11">
        <f>+-Collectée!F2-Collectée!F3</f>
        <v>1479421.5399999998</v>
      </c>
      <c r="H16" s="11"/>
      <c r="I16">
        <f>+C16*0.2+F16*0.055+G16*0.1</f>
        <v>210369.88734999998</v>
      </c>
      <c r="J16" s="11">
        <f>+'TVA Ded'!G4</f>
        <v>5331.65</v>
      </c>
      <c r="K16">
        <v>13965.26</v>
      </c>
    </row>
    <row r="17" spans="1:14" x14ac:dyDescent="0.2">
      <c r="A17" t="s">
        <v>72</v>
      </c>
      <c r="B17">
        <f>+B16-B15</f>
        <v>1.2499999997671694</v>
      </c>
      <c r="C17">
        <f>+C16-C15</f>
        <v>0</v>
      </c>
      <c r="D17">
        <f>+D16-D15</f>
        <v>0</v>
      </c>
      <c r="F17">
        <f t="shared" ref="F17:G17" si="9">+F16-F15</f>
        <v>20046.63465</v>
      </c>
      <c r="G17">
        <f t="shared" si="9"/>
        <v>1331479.5109999997</v>
      </c>
      <c r="I17">
        <f>SUM(C17:G17)</f>
        <v>1351526.1456499996</v>
      </c>
      <c r="J17" s="11">
        <f>+J16-J15</f>
        <v>5331.65</v>
      </c>
      <c r="K17">
        <v>13965.26</v>
      </c>
      <c r="N17">
        <f>+I17-K17</f>
        <v>1337560.8856499996</v>
      </c>
    </row>
    <row r="18" spans="1:14" x14ac:dyDescent="0.2">
      <c r="I18" s="11">
        <f>+Collectée!F11+Collectée!F12+Collectée!F13</f>
        <v>-178958.32</v>
      </c>
    </row>
    <row r="19" spans="1:14" x14ac:dyDescent="0.2">
      <c r="F19">
        <f>+F14*0.055</f>
        <v>0</v>
      </c>
    </row>
    <row r="20" spans="1:14" x14ac:dyDescent="0.2">
      <c r="G20">
        <f>+G14+C14</f>
        <v>63564.476999999999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967D-0D45-4157-8934-DB961AFB7781}">
  <dimension ref="A4:H18"/>
  <sheetViews>
    <sheetView workbookViewId="0">
      <selection activeCell="G4" sqref="G4"/>
    </sheetView>
  </sheetViews>
  <sheetFormatPr defaultColWidth="11.43359375" defaultRowHeight="15" x14ac:dyDescent="0.2"/>
  <cols>
    <col min="4" max="4" width="31.07421875" customWidth="1"/>
  </cols>
  <sheetData>
    <row r="4" spans="1:8" x14ac:dyDescent="0.2">
      <c r="A4" s="9"/>
      <c r="B4">
        <v>44562000</v>
      </c>
      <c r="C4" t="s">
        <v>73</v>
      </c>
      <c r="D4" t="s">
        <v>74</v>
      </c>
      <c r="E4" s="11">
        <v>5331.65</v>
      </c>
      <c r="G4" s="11">
        <v>5331.65</v>
      </c>
      <c r="H4" s="11"/>
    </row>
    <row r="5" spans="1:8" x14ac:dyDescent="0.2">
      <c r="A5" s="9"/>
      <c r="B5">
        <v>44566000</v>
      </c>
      <c r="C5" t="s">
        <v>73</v>
      </c>
      <c r="D5" t="s">
        <v>75</v>
      </c>
      <c r="E5" s="11">
        <v>84838.79</v>
      </c>
      <c r="F5">
        <v>178.5</v>
      </c>
      <c r="G5" s="11">
        <v>84660.29</v>
      </c>
      <c r="H5" s="11"/>
    </row>
    <row r="6" spans="1:8" x14ac:dyDescent="0.2">
      <c r="A6" s="9"/>
      <c r="B6">
        <v>44566100</v>
      </c>
      <c r="C6" t="s">
        <v>76</v>
      </c>
      <c r="D6" t="s">
        <v>77</v>
      </c>
      <c r="E6">
        <v>590.63</v>
      </c>
      <c r="F6">
        <v>2.81</v>
      </c>
      <c r="G6">
        <v>587.82000000000005</v>
      </c>
    </row>
    <row r="7" spans="1:8" x14ac:dyDescent="0.2">
      <c r="A7" s="9"/>
      <c r="B7">
        <v>44566110</v>
      </c>
      <c r="C7" t="s">
        <v>76</v>
      </c>
      <c r="D7" t="s">
        <v>78</v>
      </c>
      <c r="E7">
        <v>168.71</v>
      </c>
      <c r="G7">
        <v>168.71</v>
      </c>
    </row>
    <row r="8" spans="1:8" x14ac:dyDescent="0.2">
      <c r="A8" s="9"/>
      <c r="B8">
        <v>44566120</v>
      </c>
      <c r="D8" t="s">
        <v>79</v>
      </c>
      <c r="E8">
        <v>0.1</v>
      </c>
      <c r="G8">
        <v>0.1</v>
      </c>
    </row>
    <row r="9" spans="1:8" x14ac:dyDescent="0.2">
      <c r="A9" s="9"/>
      <c r="B9">
        <v>44566160</v>
      </c>
      <c r="C9" t="s">
        <v>76</v>
      </c>
      <c r="D9" t="s">
        <v>80</v>
      </c>
      <c r="E9">
        <v>147.06</v>
      </c>
      <c r="F9">
        <v>25.72</v>
      </c>
      <c r="G9">
        <v>121.34</v>
      </c>
    </row>
    <row r="10" spans="1:8" x14ac:dyDescent="0.2">
      <c r="A10" s="9"/>
      <c r="B10" s="10"/>
      <c r="C10" s="10"/>
      <c r="D10" s="10"/>
      <c r="E10" s="10"/>
      <c r="F10" s="10"/>
      <c r="G10" s="10">
        <f>SUM(G4:G9)</f>
        <v>90869.91</v>
      </c>
    </row>
    <row r="11" spans="1:8" x14ac:dyDescent="0.2">
      <c r="A11" s="9"/>
      <c r="B11" s="10"/>
      <c r="C11" s="10"/>
      <c r="D11" s="10"/>
      <c r="E11" s="10"/>
      <c r="F11" s="10"/>
      <c r="G11" s="10"/>
    </row>
    <row r="12" spans="1:8" x14ac:dyDescent="0.2">
      <c r="A12" s="9"/>
      <c r="B12" s="10"/>
      <c r="C12" s="10"/>
      <c r="D12" s="10"/>
      <c r="E12" s="10"/>
      <c r="F12" s="10"/>
      <c r="G12" s="10"/>
    </row>
    <row r="13" spans="1:8" x14ac:dyDescent="0.2">
      <c r="A13" t="s">
        <v>81</v>
      </c>
      <c r="B13">
        <v>44562000</v>
      </c>
      <c r="C13" t="s">
        <v>73</v>
      </c>
      <c r="D13" t="s">
        <v>74</v>
      </c>
      <c r="E13" s="11">
        <v>5331.65</v>
      </c>
      <c r="G13" s="11">
        <v>5331.65</v>
      </c>
    </row>
    <row r="14" spans="1:8" x14ac:dyDescent="0.2">
      <c r="A14" t="s">
        <v>81</v>
      </c>
      <c r="B14">
        <v>44566000</v>
      </c>
      <c r="C14" t="s">
        <v>73</v>
      </c>
      <c r="D14" t="s">
        <v>75</v>
      </c>
      <c r="E14" s="11">
        <v>84838.79</v>
      </c>
      <c r="F14">
        <v>178.5</v>
      </c>
      <c r="G14" s="11">
        <v>84660.29</v>
      </c>
    </row>
    <row r="15" spans="1:8" x14ac:dyDescent="0.2">
      <c r="A15" t="s">
        <v>81</v>
      </c>
      <c r="B15">
        <v>44566100</v>
      </c>
      <c r="C15" t="s">
        <v>76</v>
      </c>
      <c r="D15" t="s">
        <v>77</v>
      </c>
      <c r="E15">
        <v>590.63</v>
      </c>
      <c r="F15">
        <v>2.81</v>
      </c>
      <c r="G15">
        <v>587.82000000000005</v>
      </c>
    </row>
    <row r="16" spans="1:8" x14ac:dyDescent="0.2">
      <c r="A16" t="s">
        <v>81</v>
      </c>
      <c r="B16">
        <v>44566110</v>
      </c>
      <c r="C16" t="s">
        <v>76</v>
      </c>
      <c r="D16" t="s">
        <v>78</v>
      </c>
      <c r="E16">
        <v>168.71</v>
      </c>
      <c r="G16">
        <v>168.71</v>
      </c>
    </row>
    <row r="17" spans="1:7" x14ac:dyDescent="0.2">
      <c r="A17" t="s">
        <v>81</v>
      </c>
      <c r="B17">
        <v>44566120</v>
      </c>
      <c r="D17" t="s">
        <v>79</v>
      </c>
      <c r="E17">
        <v>0.1</v>
      </c>
      <c r="G17">
        <v>0.1</v>
      </c>
    </row>
    <row r="18" spans="1:7" x14ac:dyDescent="0.2">
      <c r="A18" t="s">
        <v>81</v>
      </c>
      <c r="B18">
        <v>44566160</v>
      </c>
      <c r="C18" t="s">
        <v>76</v>
      </c>
      <c r="D18" t="s">
        <v>80</v>
      </c>
      <c r="E18">
        <v>147.06</v>
      </c>
      <c r="F18">
        <v>25.72</v>
      </c>
      <c r="G18">
        <v>121.34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Collectée</vt:lpstr>
      <vt:lpstr>Feuil2</vt:lpstr>
      <vt:lpstr>Declaration</vt:lpstr>
      <vt:lpstr>TVA Ded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bresler</dc:creator>
  <cp:keywords/>
  <dc:description/>
  <cp:lastModifiedBy>eric bresler</cp:lastModifiedBy>
  <cp:revision/>
  <dcterms:created xsi:type="dcterms:W3CDTF">2023-06-20T15:10:09Z</dcterms:created>
  <dcterms:modified xsi:type="dcterms:W3CDTF">2024-01-23T08:18:50Z</dcterms:modified>
  <cp:category/>
  <cp:contentStatus/>
</cp:coreProperties>
</file>